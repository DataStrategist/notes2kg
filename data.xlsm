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filterPrivacy="1" codeName="ThisWorkbook" defaultThemeVersion="166925"/>
  <xr:revisionPtr revIDLastSave="0" documentId="8_{DBB296E3-8FDE-4DCD-B537-C34A15DBDEA0}" xr6:coauthVersionLast="47" xr6:coauthVersionMax="47" xr10:uidLastSave="{00000000-0000-0000-0000-000000000000}"/>
  <bookViews>
    <workbookView xWindow="1005" yWindow="-120" windowWidth="27915" windowHeight="16440" activeTab="1" xr2:uid="{72174DF2-B174-43F1-9569-96C780230F3B}"/>
  </bookViews>
  <sheets>
    <sheet name="nodes" sheetId="1" r:id="rId1"/>
    <sheet name="edges" sheetId="2" r:id="rId2"/>
    <sheet name="nodetypes" sheetId="3" r:id="rId3"/>
  </sheets>
  <definedNames>
    <definedName name="list">edges!$C$1:$E$100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79" i="1" l="1"/>
  <c r="A78" i="1"/>
  <c r="B95" i="2" s="1" a="1"/>
  <c r="B95" i="2" s="1"/>
  <c r="A77" i="1"/>
  <c r="B96" i="2" s="1" a="1"/>
  <c r="B96" i="2" s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B100" i="2" a="1"/>
  <c r="B100" i="2" s="1"/>
  <c r="B99" i="2" a="1"/>
  <c r="B99" i="2" s="1"/>
  <c r="B98" i="2" a="1"/>
  <c r="B98" i="2" s="1"/>
  <c r="A97" i="2" a="1"/>
  <c r="A97" i="2" s="1"/>
  <c r="A94" i="2" a="1"/>
  <c r="A94" i="2" s="1"/>
  <c r="B94" i="2" a="1"/>
  <c r="B94" i="2" s="1"/>
  <c r="A93" i="2" a="1"/>
  <c r="A93" i="2" s="1"/>
  <c r="B93" i="2" a="1"/>
  <c r="B93" i="2" s="1"/>
  <c r="A92" i="2" a="1"/>
  <c r="A92" i="2" s="1"/>
  <c r="B92" i="2" a="1"/>
  <c r="B92" i="2" s="1"/>
  <c r="A91" i="2" a="1"/>
  <c r="A91" i="2" s="1"/>
  <c r="B91" i="2" a="1"/>
  <c r="B91" i="2" s="1"/>
  <c r="A90" i="2" a="1"/>
  <c r="A90" i="2" s="1"/>
  <c r="B90" i="2" a="1"/>
  <c r="B90" i="2" s="1"/>
  <c r="A89" i="2" a="1"/>
  <c r="A89" i="2" s="1"/>
  <c r="B89" i="2" a="1"/>
  <c r="B89" i="2" s="1"/>
  <c r="A88" i="2" a="1"/>
  <c r="A88" i="2" s="1"/>
  <c r="B88" i="2" a="1"/>
  <c r="B88" i="2" s="1"/>
  <c r="A87" i="2" a="1"/>
  <c r="A87" i="2" s="1"/>
  <c r="B87" i="2" a="1"/>
  <c r="B87" i="2" s="1"/>
  <c r="A86" i="2" a="1"/>
  <c r="A86" i="2" s="1"/>
  <c r="B86" i="2" a="1"/>
  <c r="B86" i="2" s="1"/>
  <c r="A85" i="2" a="1"/>
  <c r="A85" i="2" s="1"/>
  <c r="B85" i="2" a="1"/>
  <c r="B85" i="2" s="1"/>
  <c r="A84" i="2" a="1"/>
  <c r="A84" i="2" s="1"/>
  <c r="B84" i="2" a="1"/>
  <c r="B84" i="2" s="1"/>
  <c r="A83" i="2" a="1"/>
  <c r="A83" i="2" s="1"/>
  <c r="B83" i="2" a="1"/>
  <c r="B83" i="2" s="1"/>
  <c r="A82" i="2" a="1"/>
  <c r="A82" i="2" s="1"/>
  <c r="B82" i="2" a="1"/>
  <c r="B82" i="2" s="1"/>
  <c r="A72" i="2" l="1" a="1"/>
  <c r="A72" i="2" s="1"/>
  <c r="A73" i="2" a="1"/>
  <c r="A73" i="2" s="1"/>
  <c r="A74" i="2" a="1"/>
  <c r="A74" i="2" s="1"/>
  <c r="A75" i="2" a="1"/>
  <c r="A75" i="2" s="1"/>
  <c r="A76" i="2" a="1"/>
  <c r="A76" i="2" s="1"/>
  <c r="A78" i="2" a="1"/>
  <c r="A78" i="2" s="1"/>
  <c r="A79" i="2" a="1"/>
  <c r="A79" i="2" s="1"/>
  <c r="A71" i="2" a="1"/>
  <c r="A71" i="2" s="1"/>
  <c r="B21" i="2" a="1"/>
  <c r="B21" i="2" s="1"/>
  <c r="A3" i="1"/>
  <c r="A4" i="1" s="1"/>
  <c r="A5" i="1" l="1"/>
  <c r="B49" i="2" a="1"/>
  <c r="B49" i="2" s="1"/>
  <c r="B61" i="2" a="1"/>
  <c r="B61" i="2" s="1"/>
  <c r="B19" i="2" a="1"/>
  <c r="B19" i="2" s="1"/>
  <c r="A47" i="2" a="1"/>
  <c r="A47" i="2" s="1"/>
  <c r="A5" i="2" a="1"/>
  <c r="A5" i="2" s="1"/>
  <c r="A6" i="1"/>
  <c r="B30" i="2" a="1"/>
  <c r="B30" i="2" s="1"/>
  <c r="A2" i="2" a="1"/>
  <c r="A2" i="2" s="1"/>
  <c r="A38" i="2" a="1"/>
  <c r="A38" i="2" s="1"/>
  <c r="A52" i="2" l="1" a="1"/>
  <c r="A52" i="2" s="1"/>
  <c r="A7" i="2" a="1"/>
  <c r="A7" i="2" s="1"/>
  <c r="B68" i="2" a="1"/>
  <c r="B68" i="2" s="1"/>
  <c r="B39" i="2" a="1"/>
  <c r="B39" i="2" s="1"/>
  <c r="A7" i="1"/>
  <c r="B41" i="2" a="1"/>
  <c r="B41" i="2" s="1"/>
  <c r="B38" i="2" a="1"/>
  <c r="B38" i="2" s="1"/>
  <c r="B6" i="2" a="1"/>
  <c r="B6" i="2" s="1"/>
  <c r="B8" i="2" l="1" a="1"/>
  <c r="B8" i="2" s="1"/>
  <c r="A8" i="1"/>
  <c r="B9" i="2" l="1" a="1"/>
  <c r="B9" i="2" s="1"/>
  <c r="A9" i="1"/>
  <c r="B69" i="2" l="1" a="1"/>
  <c r="B69" i="2" s="1"/>
  <c r="A70" i="2" a="1"/>
  <c r="A70" i="2" s="1"/>
  <c r="A10" i="1"/>
  <c r="B13" i="2" l="1" a="1"/>
  <c r="B13" i="2" s="1"/>
  <c r="A11" i="1"/>
  <c r="A12" i="1" l="1"/>
  <c r="B18" i="2" a="1"/>
  <c r="B18" i="2" s="1"/>
  <c r="A13" i="1" l="1"/>
  <c r="B2" i="2" a="1"/>
  <c r="B2" i="2" s="1"/>
  <c r="B47" i="2" l="1" a="1"/>
  <c r="B47" i="2" s="1"/>
  <c r="A14" i="1"/>
  <c r="A15" i="1" l="1"/>
  <c r="B52" i="2" a="1"/>
  <c r="B52" i="2" s="1"/>
  <c r="A53" i="2" a="1"/>
  <c r="A53" i="2" s="1"/>
  <c r="A16" i="1" l="1"/>
  <c r="B59" i="2" a="1"/>
  <c r="B59" i="2" s="1"/>
  <c r="A17" i="1" l="1"/>
  <c r="B60" i="2" a="1"/>
  <c r="B60" i="2" s="1"/>
  <c r="A68" i="2" l="1" a="1"/>
  <c r="A68" i="2" s="1"/>
  <c r="B64" i="2" a="1"/>
  <c r="B64" i="2" s="1"/>
  <c r="A18" i="1"/>
  <c r="A65" i="2" a="1"/>
  <c r="A65" i="2" s="1"/>
  <c r="A66" i="2" a="1"/>
  <c r="A66" i="2" s="1"/>
  <c r="A67" i="2" a="1"/>
  <c r="A67" i="2" s="1"/>
  <c r="B65" i="2" l="1" a="1"/>
  <c r="B65" i="2" s="1"/>
  <c r="A19" i="1"/>
  <c r="A20" i="1" l="1"/>
  <c r="B66" i="2" a="1"/>
  <c r="B66" i="2" s="1"/>
  <c r="B67" i="2" l="1" a="1"/>
  <c r="B67" i="2" s="1"/>
  <c r="A21" i="1"/>
  <c r="B46" i="2" l="1" a="1"/>
  <c r="B46" i="2" s="1"/>
  <c r="B56" i="2" a="1"/>
  <c r="B56" i="2" s="1"/>
  <c r="B32" i="2" a="1"/>
  <c r="B32" i="2" s="1"/>
  <c r="B12" i="2" a="1"/>
  <c r="B12" i="2" s="1"/>
  <c r="A22" i="1"/>
  <c r="B31" i="2" a="1"/>
  <c r="B31" i="2" s="1"/>
  <c r="A23" i="1" l="1"/>
  <c r="B11" i="2" a="1"/>
  <c r="B11" i="2" s="1"/>
  <c r="B34" i="2" l="1" a="1"/>
  <c r="B34" i="2" s="1"/>
  <c r="A24" i="1"/>
  <c r="A100" i="2" l="1" a="1"/>
  <c r="A100" i="2" s="1"/>
  <c r="A96" i="2" a="1"/>
  <c r="A96" i="2" s="1"/>
  <c r="A40" i="2" a="1"/>
  <c r="A40" i="2" s="1"/>
  <c r="B35" i="2" a="1"/>
  <c r="B35" i="2" s="1"/>
  <c r="A25" i="1"/>
  <c r="A26" i="1" l="1"/>
  <c r="B71" i="2" s="1" a="1"/>
  <c r="B71" i="2" s="1"/>
  <c r="A15" i="2" a="1"/>
  <c r="A15" i="2" s="1"/>
  <c r="B50" i="2" l="1" a="1"/>
  <c r="B50" i="2" s="1"/>
  <c r="A43" i="2" a="1"/>
  <c r="A43" i="2" s="1"/>
  <c r="A41" i="2" a="1"/>
  <c r="A41" i="2" s="1"/>
  <c r="A27" i="1"/>
  <c r="B70" i="2" a="1"/>
  <c r="B70" i="2" s="1"/>
  <c r="A6" i="2" a="1"/>
  <c r="A6" i="2" s="1"/>
  <c r="A29" i="2" a="1"/>
  <c r="A29" i="2" s="1"/>
  <c r="A42" i="2" a="1"/>
  <c r="A42" i="2" s="1"/>
  <c r="A14" i="2" a="1"/>
  <c r="A14" i="2" s="1"/>
  <c r="B53" i="2" a="1"/>
  <c r="B53" i="2" s="1"/>
  <c r="A61" i="2" a="1"/>
  <c r="A61" i="2" s="1"/>
  <c r="B63" i="2" a="1"/>
  <c r="B63" i="2" s="1"/>
  <c r="B62" i="2" a="1"/>
  <c r="B62" i="2" s="1"/>
  <c r="A17" i="2" a="1"/>
  <c r="A17" i="2" s="1"/>
  <c r="A9" i="2" a="1"/>
  <c r="A9" i="2" s="1"/>
  <c r="A64" i="2" a="1"/>
  <c r="A64" i="2" s="1"/>
  <c r="A95" i="2" l="1" a="1"/>
  <c r="A95" i="2" s="1"/>
  <c r="A77" i="2" a="1"/>
  <c r="A77" i="2" s="1"/>
  <c r="B80" i="2" a="1"/>
  <c r="B80" i="2" s="1"/>
  <c r="B29" i="2" a="1"/>
  <c r="B29" i="2" s="1"/>
  <c r="A28" i="1"/>
  <c r="B28" i="2" a="1"/>
  <c r="B28" i="2" s="1"/>
  <c r="B44" i="2" a="1"/>
  <c r="B44" i="2" s="1"/>
  <c r="B51" i="2" a="1"/>
  <c r="B51" i="2" s="1"/>
  <c r="B45" i="2" a="1"/>
  <c r="B45" i="2" s="1"/>
  <c r="A99" i="2" l="1" a="1"/>
  <c r="A99" i="2" s="1"/>
  <c r="A98" i="2" a="1"/>
  <c r="A98" i="2" s="1"/>
  <c r="A63" i="2" a="1"/>
  <c r="A63" i="2" s="1"/>
  <c r="A29" i="1"/>
  <c r="A31" i="2" l="1" a="1"/>
  <c r="A31" i="2" s="1"/>
  <c r="A30" i="1"/>
  <c r="A81" i="2" s="1" a="1"/>
  <c r="A81" i="2" s="1"/>
  <c r="A10" i="2" a="1"/>
  <c r="A10" i="2" s="1"/>
  <c r="A31" i="1" l="1"/>
  <c r="B17" i="2" a="1"/>
  <c r="B17" i="2" s="1"/>
  <c r="A62" i="2" a="1"/>
  <c r="A62" i="2" s="1"/>
  <c r="B42" i="2" a="1"/>
  <c r="B42" i="2" s="1"/>
  <c r="A16" i="2" a="1"/>
  <c r="A16" i="2" s="1"/>
  <c r="A69" i="2" l="1" a="1"/>
  <c r="A69" i="2" s="1"/>
  <c r="A32" i="2" a="1"/>
  <c r="A32" i="2" s="1"/>
  <c r="A32" i="1"/>
  <c r="A23" i="2" a="1"/>
  <c r="A23" i="2" s="1"/>
  <c r="A33" i="1" l="1"/>
  <c r="B57" i="2" a="1"/>
  <c r="B57" i="2" s="1"/>
  <c r="A12" i="2" a="1"/>
  <c r="A12" i="2" s="1"/>
  <c r="A37" i="2" a="1"/>
  <c r="A37" i="2" s="1"/>
  <c r="A54" i="2" a="1"/>
  <c r="A54" i="2" s="1"/>
  <c r="A33" i="2" a="1"/>
  <c r="A33" i="2" s="1"/>
  <c r="A11" i="2" l="1" a="1"/>
  <c r="A11" i="2" s="1"/>
  <c r="A34" i="1"/>
  <c r="A46" i="2" a="1"/>
  <c r="A46" i="2" s="1"/>
  <c r="B4" i="2" l="1" a="1"/>
  <c r="B4" i="2" s="1"/>
  <c r="A35" i="1"/>
  <c r="A80" i="2" s="1" a="1"/>
  <c r="A80" i="2" s="1"/>
  <c r="A27" i="2" l="1" a="1"/>
  <c r="A27" i="2" s="1"/>
  <c r="A36" i="1"/>
  <c r="A45" i="2" a="1"/>
  <c r="A45" i="2" s="1"/>
  <c r="A35" i="2" l="1" a="1"/>
  <c r="A35" i="2" s="1"/>
  <c r="A58" i="2" a="1"/>
  <c r="A58" i="2" s="1"/>
  <c r="A37" i="1"/>
  <c r="A34" i="2" a="1"/>
  <c r="A34" i="2" s="1"/>
  <c r="A36" i="2" a="1"/>
  <c r="A36" i="2" s="1"/>
  <c r="A44" i="2" a="1"/>
  <c r="A44" i="2" s="1"/>
  <c r="A38" i="1" l="1"/>
  <c r="B43" i="2" a="1"/>
  <c r="B43" i="2" s="1"/>
  <c r="A51" i="2" l="1" a="1"/>
  <c r="A51" i="2" s="1"/>
  <c r="A39" i="1"/>
  <c r="A50" i="2" a="1"/>
  <c r="A50" i="2" s="1"/>
  <c r="A55" i="2" l="1" a="1"/>
  <c r="A55" i="2" s="1"/>
  <c r="A40" i="1"/>
  <c r="A57" i="2" l="1" a="1"/>
  <c r="A57" i="2" s="1"/>
  <c r="A56" i="2" a="1"/>
  <c r="A56" i="2" s="1"/>
  <c r="A41" i="1"/>
  <c r="B24" i="2" l="1" a="1"/>
  <c r="B24" i="2" s="1"/>
  <c r="A42" i="1"/>
  <c r="B26" i="2" l="1" a="1"/>
  <c r="B26" i="2" s="1"/>
  <c r="A43" i="1"/>
  <c r="B25" i="2" l="1" a="1"/>
  <c r="B25" i="2" s="1"/>
  <c r="A44" i="1"/>
  <c r="B97" i="2" s="1" a="1"/>
  <c r="B97" i="2" s="1"/>
  <c r="A39" i="2" l="1" a="1"/>
  <c r="A39" i="2" s="1"/>
  <c r="B40" i="2" a="1"/>
  <c r="B40" i="2" s="1"/>
  <c r="A45" i="1"/>
  <c r="A20" i="2" a="1"/>
  <c r="A20" i="2" s="1"/>
  <c r="A4" i="2" a="1"/>
  <c r="A4" i="2" s="1"/>
  <c r="B3" i="2" l="1" a="1"/>
  <c r="B3" i="2" s="1"/>
  <c r="A46" i="1"/>
  <c r="A19" i="2" a="1"/>
  <c r="A19" i="2" s="1"/>
  <c r="B27" i="2" a="1"/>
  <c r="B27" i="2" s="1"/>
  <c r="A28" i="2" a="1"/>
  <c r="A28" i="2" s="1"/>
  <c r="B54" i="2" a="1"/>
  <c r="B54" i="2" s="1"/>
  <c r="B55" i="2" a="1"/>
  <c r="B55" i="2" s="1"/>
  <c r="A47" i="1" l="1"/>
  <c r="B20" i="2" a="1"/>
  <c r="B20" i="2" s="1"/>
  <c r="B33" i="2" a="1"/>
  <c r="B33" i="2" s="1"/>
  <c r="B58" i="2" l="1" a="1"/>
  <c r="B58" i="2" s="1"/>
  <c r="A48" i="1"/>
  <c r="A49" i="1" l="1"/>
  <c r="B7" i="2" a="1"/>
  <c r="B7" i="2" s="1"/>
  <c r="A50" i="1" l="1"/>
  <c r="B23" i="2" a="1"/>
  <c r="B23" i="2" s="1"/>
  <c r="B22" i="2" a="1"/>
  <c r="B22" i="2" s="1"/>
  <c r="A51" i="1" l="1"/>
  <c r="A22" i="2" a="1"/>
  <c r="A22" i="2" s="1"/>
  <c r="A21" i="2" a="1"/>
  <c r="A21" i="2" s="1"/>
  <c r="A52" i="1" l="1"/>
  <c r="A18" i="2" a="1"/>
  <c r="A18" i="2" s="1"/>
  <c r="B14" i="2" l="1" a="1"/>
  <c r="B14" i="2" s="1"/>
  <c r="A30" i="2" a="1"/>
  <c r="A30" i="2" s="1"/>
  <c r="A26" i="2" a="1"/>
  <c r="A26" i="2" s="1"/>
  <c r="B15" i="2" a="1"/>
  <c r="B15" i="2" s="1"/>
  <c r="A25" i="2" a="1"/>
  <c r="A25" i="2" s="1"/>
  <c r="A24" i="2" a="1"/>
  <c r="A24" i="2" s="1"/>
  <c r="A13" i="2" a="1"/>
  <c r="A13" i="2" s="1"/>
  <c r="B16" i="2" a="1"/>
  <c r="B16" i="2" s="1"/>
  <c r="B10" i="2" a="1"/>
  <c r="B10" i="2" s="1"/>
  <c r="A53" i="1"/>
  <c r="B72" i="2" l="1" a="1"/>
  <c r="B72" i="2" s="1"/>
  <c r="B73" i="2" a="1"/>
  <c r="B73" i="2" s="1"/>
  <c r="B79" i="2" a="1"/>
  <c r="B79" i="2" s="1"/>
  <c r="B74" i="2" a="1"/>
  <c r="B74" i="2" s="1"/>
  <c r="B75" i="2" a="1"/>
  <c r="B75" i="2" s="1"/>
  <c r="B77" i="2" a="1"/>
  <c r="B77" i="2" s="1"/>
  <c r="B76" i="2" a="1"/>
  <c r="B76" i="2" s="1"/>
  <c r="B78" i="2" a="1"/>
  <c r="B78" i="2" s="1"/>
  <c r="A49" i="2" a="1"/>
  <c r="A49" i="2" s="1"/>
  <c r="A59" i="2" a="1"/>
  <c r="A59" i="2" s="1"/>
  <c r="A8" i="2" a="1"/>
  <c r="A8" i="2" s="1"/>
  <c r="A54" i="1"/>
  <c r="B81" i="2" s="1" a="1"/>
  <c r="B81" i="2" s="1"/>
  <c r="A60" i="2" a="1"/>
  <c r="A60" i="2" s="1"/>
  <c r="A48" i="2" a="1"/>
  <c r="A48" i="2" s="1"/>
  <c r="B48" i="2" l="1" a="1"/>
  <c r="B48" i="2" s="1"/>
  <c r="B5" i="2" a="1"/>
  <c r="B5" i="2" s="1"/>
  <c r="A55" i="1"/>
  <c r="B36" i="2" a="1"/>
  <c r="B36" i="2" s="1"/>
  <c r="B37" i="2" a="1"/>
  <c r="B37" i="2" s="1"/>
  <c r="A3" i="2" a="1"/>
  <c r="A3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<sst xmlns="http://schemas.openxmlformats.org/spreadsheetml/2006/main" count="586" uniqueCount="179">
  <si>
    <t>from</t>
  </si>
  <si>
    <t>to</t>
  </si>
  <si>
    <t>what</t>
  </si>
  <si>
    <t>more context</t>
  </si>
  <si>
    <t>node</t>
  </si>
  <si>
    <t>id</t>
  </si>
  <si>
    <t>extra</t>
  </si>
  <si>
    <t>entity1</t>
  </si>
  <si>
    <t>entity2</t>
  </si>
  <si>
    <t>group</t>
  </si>
  <si>
    <t>status</t>
  </si>
  <si>
    <t>Miriam Valencia</t>
  </si>
  <si>
    <t>works on</t>
  </si>
  <si>
    <t>person</t>
  </si>
  <si>
    <t>Lawrence</t>
  </si>
  <si>
    <t>is</t>
  </si>
  <si>
    <t>SharePoint</t>
  </si>
  <si>
    <t>Monday.com</t>
  </si>
  <si>
    <t>I</t>
  </si>
  <si>
    <t>am in</t>
  </si>
  <si>
    <t>tech team</t>
  </si>
  <si>
    <t>HelpLine Project</t>
  </si>
  <si>
    <t>asset</t>
  </si>
  <si>
    <t>Chatbot</t>
  </si>
  <si>
    <t>helps  provide</t>
  </si>
  <si>
    <t>Social Care</t>
  </si>
  <si>
    <t>concept</t>
  </si>
  <si>
    <t>ASC</t>
  </si>
  <si>
    <t>created</t>
  </si>
  <si>
    <t>Springbok</t>
  </si>
  <si>
    <t>designed</t>
  </si>
  <si>
    <t>https://www.springbok.ai/</t>
  </si>
  <si>
    <t>organization</t>
  </si>
  <si>
    <t>use</t>
  </si>
  <si>
    <t>wants data from</t>
  </si>
  <si>
    <t>Partners</t>
  </si>
  <si>
    <t>Quarterly Report</t>
  </si>
  <si>
    <t>documents</t>
  </si>
  <si>
    <t>current status</t>
  </si>
  <si>
    <t>uses</t>
  </si>
  <si>
    <t>KNIME</t>
  </si>
  <si>
    <t>ingests</t>
  </si>
  <si>
    <t>doesn't really work too well… currently have free help from Mencap, and an ex-employee called Dwayne helped but work was insufficient and he's gone)</t>
  </si>
  <si>
    <t>100k records</t>
  </si>
  <si>
    <t>holds data on</t>
  </si>
  <si>
    <t>Legal cases workers</t>
  </si>
  <si>
    <t>Dynamics 365</t>
  </si>
  <si>
    <t>currently 3 systems are being considered</t>
  </si>
  <si>
    <t>KPIs</t>
  </si>
  <si>
    <t>are on</t>
  </si>
  <si>
    <t>manual process</t>
  </si>
  <si>
    <t>are becoming</t>
  </si>
  <si>
    <t>OKRs</t>
  </si>
  <si>
    <t>is working on</t>
  </si>
  <si>
    <t>backend</t>
  </si>
  <si>
    <t>Python</t>
  </si>
  <si>
    <t>frontend</t>
  </si>
  <si>
    <t>React</t>
  </si>
  <si>
    <t>Rasa</t>
  </si>
  <si>
    <t>strategy</t>
  </si>
  <si>
    <t>software</t>
  </si>
  <si>
    <t>department</t>
  </si>
  <si>
    <t>helps with</t>
  </si>
  <si>
    <t>(Data lead @ Mencap)</t>
  </si>
  <si>
    <t>sits within</t>
  </si>
  <si>
    <t>Mencap</t>
  </si>
  <si>
    <t>came from</t>
  </si>
  <si>
    <t>generates</t>
  </si>
  <si>
    <t>Chatbot data</t>
  </si>
  <si>
    <t>held for maximum of</t>
  </si>
  <si>
    <t>14 days</t>
  </si>
  <si>
    <t>?</t>
  </si>
  <si>
    <t xml:space="preserve">is in </t>
  </si>
  <si>
    <t>Fin</t>
  </si>
  <si>
    <t>badly needs</t>
  </si>
  <si>
    <t>new casework system</t>
  </si>
  <si>
    <t>need to help select</t>
  </si>
  <si>
    <t>Hannah</t>
  </si>
  <si>
    <t xml:space="preserve">is </t>
  </si>
  <si>
    <t>acting data role</t>
  </si>
  <si>
    <t>creates</t>
  </si>
  <si>
    <t>will help with</t>
  </si>
  <si>
    <t>Owen (Mencap)</t>
  </si>
  <si>
    <t>value</t>
  </si>
  <si>
    <t>organizational data</t>
  </si>
  <si>
    <t>produces</t>
  </si>
  <si>
    <t>lawyers</t>
  </si>
  <si>
    <t>needs</t>
  </si>
  <si>
    <t>trains</t>
  </si>
  <si>
    <t>partners</t>
  </si>
  <si>
    <t>educates</t>
  </si>
  <si>
    <t>public</t>
  </si>
  <si>
    <t>partner data</t>
  </si>
  <si>
    <t>works for</t>
  </si>
  <si>
    <t>acting IT</t>
  </si>
  <si>
    <t>Sharepoint</t>
  </si>
  <si>
    <t>WIP</t>
  </si>
  <si>
    <t>data used to make</t>
  </si>
  <si>
    <t>Keri</t>
  </si>
  <si>
    <t>leads</t>
  </si>
  <si>
    <t>is useful to</t>
  </si>
  <si>
    <t>donors</t>
  </si>
  <si>
    <t>fund</t>
  </si>
  <si>
    <t>will replace</t>
  </si>
  <si>
    <t>Dwayne</t>
  </si>
  <si>
    <t>partially worked on</t>
  </si>
  <si>
    <t>worked for ASC briefly, left now</t>
  </si>
  <si>
    <t>Alan</t>
  </si>
  <si>
    <t>supervises</t>
  </si>
  <si>
    <t>Tableau</t>
  </si>
  <si>
    <t>Local Authority data</t>
  </si>
  <si>
    <t>doesn't have good</t>
  </si>
  <si>
    <t>better codes</t>
  </si>
  <si>
    <t>harmonizes</t>
  </si>
  <si>
    <t>most organizations use 3 tiers, of which we sync 2</t>
  </si>
  <si>
    <t>chatbot data</t>
  </si>
  <si>
    <t>should be included</t>
  </si>
  <si>
    <t>needs to use</t>
  </si>
  <si>
    <t>should be stored</t>
  </si>
  <si>
    <t>database</t>
  </si>
  <si>
    <t>Stored where? Airtable?</t>
  </si>
  <si>
    <t>Do they have the capacity? Data Orchard</t>
  </si>
  <si>
    <t>new data</t>
  </si>
  <si>
    <t>need to figure this out… what else do they do?</t>
  </si>
  <si>
    <t>Members</t>
  </si>
  <si>
    <t>consulting</t>
  </si>
  <si>
    <t>funding robustness analysis</t>
  </si>
  <si>
    <t>needs to prove</t>
  </si>
  <si>
    <t>impact</t>
  </si>
  <si>
    <t>can manifest as</t>
  </si>
  <si>
    <t>less deaths</t>
  </si>
  <si>
    <t>less debt</t>
  </si>
  <si>
    <t>less homelessness</t>
  </si>
  <si>
    <t>has issues, compliance problem. Need to check the Local Authority dropdown… does it contain Local Authorities? Rarely filled in, create some friendly competition?</t>
  </si>
  <si>
    <t>depends on</t>
  </si>
  <si>
    <t>prepares</t>
  </si>
  <si>
    <t>lightening talks</t>
  </si>
  <si>
    <t>raise capacity of</t>
  </si>
  <si>
    <t>SOTN report</t>
  </si>
  <si>
    <t>to do</t>
  </si>
  <si>
    <t>problem</t>
  </si>
  <si>
    <t>present</t>
  </si>
  <si>
    <t>Provide money</t>
  </si>
  <si>
    <t>AgeUK</t>
  </si>
  <si>
    <t>CAB</t>
  </si>
  <si>
    <t>CarersUK</t>
  </si>
  <si>
    <t>Ealing</t>
  </si>
  <si>
    <t>IndependentAge</t>
  </si>
  <si>
    <t>RNIB</t>
  </si>
  <si>
    <t>SCOPE</t>
  </si>
  <si>
    <t>is a</t>
  </si>
  <si>
    <t>Member</t>
  </si>
  <si>
    <t>provide data for</t>
  </si>
  <si>
    <t>is part of</t>
  </si>
  <si>
    <t>Achieve Toegther</t>
  </si>
  <si>
    <t>Avenues</t>
  </si>
  <si>
    <t>Camphill Village Trust</t>
  </si>
  <si>
    <t>Choice Support</t>
  </si>
  <si>
    <t>Dimensions</t>
  </si>
  <si>
    <t>Discovery</t>
  </si>
  <si>
    <t>Father Hudson's Care</t>
  </si>
  <si>
    <t>Hft</t>
  </si>
  <si>
    <t>McIntyre</t>
  </si>
  <si>
    <t>National Autistic Society</t>
  </si>
  <si>
    <t>Norwood</t>
  </si>
  <si>
    <t>Sense</t>
  </si>
  <si>
    <t>United Response</t>
  </si>
  <si>
    <t>has</t>
  </si>
  <si>
    <t>Provider Services</t>
  </si>
  <si>
    <t>Lawyers</t>
  </si>
  <si>
    <t>deal with</t>
  </si>
  <si>
    <t>case work</t>
  </si>
  <si>
    <t>tracked in</t>
  </si>
  <si>
    <t>refer</t>
  </si>
  <si>
    <t>depend on us for</t>
  </si>
  <si>
    <t>maybe the "refer to us" button is good here</t>
  </si>
  <si>
    <t>also deal with</t>
  </si>
  <si>
    <t>Projects</t>
  </si>
  <si>
    <t>What is this?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</si>
</sst>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353740"/>
      <name val="Arial"/>
      <family val="2"/>
    </font>
    <font>
      <sz val="11"/>
      <color indexed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0" fontId="0" fillId="2" borderId="1" xfId="0" applyFont="1" applyFill="1" applyBorder="1"/>
    <xf numFmtId="0" fontId="0" fillId="0" borderId="1" xfId="0" applyFont="1" applyBorder="1"/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0</xdr:row>
          <xdr:rowOff>9525</xdr:rowOff>
        </xdr:from>
        <xdr:to>
          <xdr:col>7</xdr:col>
          <xdr:colOff>590550</xdr:colOff>
          <xdr:row>0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d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FF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C8FA249-4EDE-4C44-A0C0-E7C1F3898A8B}" name="nodes_t" displayName="nodes_t" ref="A1:E79" totalsRowShown="0">
  <autoFilter ref="A1:E79" xr:uid="{8C8FA249-4EDE-4C44-A0C0-E7C1F3898A8B}"/>
  <sortState xmlns:xlrd2="http://schemas.microsoft.com/office/spreadsheetml/2017/richdata2" ref="A2:E55">
    <sortCondition ref="C1:C55"/>
  </sortState>
  <tableColumns count="5">
    <tableColumn id="1" xr3:uid="{63F9B0F1-DA5B-4C80-BFF4-2B591493234E}" name="id">
      <calculatedColumnFormula>A1+1</calculatedColumnFormula>
    </tableColumn>
    <tableColumn id="2" xr3:uid="{5985CD68-B9F6-47CD-B38F-F8C3F1E8867B}" name="node"/>
    <tableColumn id="4" xr3:uid="{CB5183EF-AD42-4326-B2F4-AC4B296EFF50}" name="group"/>
    <tableColumn id="5" xr3:uid="{208DEACD-F58B-402B-B5B3-0EF8D4A30308}" name="value"/>
    <tableColumn id="3" xr3:uid="{C3F1E006-FCD3-4099-8466-08C37088D650}" name="extra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9C3594-41E1-4181-B985-9B6178DBE730}" name="Table2" displayName="Table2" ref="A1:G100" totalsRowShown="0">
  <autoFilter ref="A1:G100" xr:uid="{939C3594-41E1-4181-B985-9B6178DBE730}"/>
  <sortState xmlns:xlrd2="http://schemas.microsoft.com/office/spreadsheetml/2017/richdata2" ref="A2:G70">
    <sortCondition ref="F1:F70"/>
  </sortState>
  <tableColumns count="7">
    <tableColumn id="1" xr3:uid="{E7AF07BF-FBA3-4DCF-B4E3-F2090F232C82}" name="from">
      <calculatedColumnFormula array="1">_xlfn.XLOOKUP(C2,nodes_t[[#All],[node]],nodes_t[[#All],[id]],0,0)</calculatedColumnFormula>
    </tableColumn>
    <tableColumn id="2" xr3:uid="{2F3A8B86-209A-4D77-A1D1-B9531A522D98}" name="to">
      <calculatedColumnFormula array="1">_xlfn.XLOOKUP(E2,nodes_t[[#All],[node]],nodes_t[[#All],[id]],0,0)</calculatedColumnFormula>
    </tableColumn>
    <tableColumn id="3" xr3:uid="{0446D54F-A835-4587-B9A0-6E21AF15B0B5}" name="entity1"/>
    <tableColumn id="4" xr3:uid="{3EC38B56-B881-4C27-98D7-B0E51FB57F79}" name="what"/>
    <tableColumn id="5" xr3:uid="{81BACE77-C7A7-43C3-B32B-90F35B93060C}" name="entity2"/>
    <tableColumn id="7" xr3:uid="{5D98988D-773D-4347-A24C-653ECF189354}" name="status"/>
    <tableColumn id="6" xr3:uid="{9212C3D6-4762-44B4-9292-AC031A7A40B7}" name="more contex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6343C6-142D-4942-9AC8-61146F2F0C1E}">
  <sheetPr codeName="Sheet1"/>
  <dimension ref="A1:E79"/>
  <sheetViews>
    <sheetView topLeftCell="A49" workbookViewId="0">
      <selection activeCell="E80" sqref="E80"/>
    </sheetView>
  </sheetViews>
  <sheetFormatPr defaultRowHeight="15" x14ac:dyDescent="0.25"/>
  <cols>
    <col min="1" max="1" width="8.42578125" bestFit="1" customWidth="1"/>
    <col min="2" max="2" width="24.85546875" bestFit="1" customWidth="1"/>
    <col min="5" max="5" width="51.7109375" customWidth="1"/>
  </cols>
  <sheetData>
    <row r="1" spans="1:5" x14ac:dyDescent="0.25">
      <c r="A1" t="s">
        <v>5</v>
      </c>
      <c r="B1" t="s">
        <v>4</v>
      </c>
      <c r="C1" t="s">
        <v>9</v>
      </c>
      <c r="D1" t="s">
        <v>83</v>
      </c>
      <c r="E1" t="s">
        <v>6</v>
      </c>
    </row>
    <row r="2" spans="1:5" x14ac:dyDescent="0.25">
      <c r="A2">
        <v>1</v>
      </c>
      <c r="B2" t="s">
        <v>17</v>
      </c>
      <c r="C2" t="s">
        <v>22</v>
      </c>
      <c r="D2">
        <v>1</v>
      </c>
    </row>
    <row r="3" spans="1:5" x14ac:dyDescent="0.25">
      <c r="A3">
        <f t="shared" ref="A3:A34" si="0">A2+1</f>
        <v>2</v>
      </c>
      <c r="B3" t="s">
        <v>16</v>
      </c>
      <c r="C3" t="s">
        <v>22</v>
      </c>
      <c r="D3">
        <v>1</v>
      </c>
    </row>
    <row r="4" spans="1:5" x14ac:dyDescent="0.25">
      <c r="A4">
        <f t="shared" si="0"/>
        <v>3</v>
      </c>
      <c r="B4" t="s">
        <v>92</v>
      </c>
      <c r="C4" t="s">
        <v>22</v>
      </c>
      <c r="D4">
        <v>1</v>
      </c>
    </row>
    <row r="5" spans="1:5" x14ac:dyDescent="0.25">
      <c r="A5">
        <f t="shared" si="0"/>
        <v>4</v>
      </c>
      <c r="B5" t="s">
        <v>68</v>
      </c>
      <c r="C5" t="s">
        <v>22</v>
      </c>
      <c r="D5">
        <v>1</v>
      </c>
    </row>
    <row r="6" spans="1:5" x14ac:dyDescent="0.25">
      <c r="A6">
        <f t="shared" si="0"/>
        <v>5</v>
      </c>
      <c r="B6" t="s">
        <v>84</v>
      </c>
      <c r="C6" t="s">
        <v>22</v>
      </c>
      <c r="D6">
        <v>1</v>
      </c>
    </row>
    <row r="7" spans="1:5" x14ac:dyDescent="0.25">
      <c r="A7">
        <f t="shared" si="0"/>
        <v>6</v>
      </c>
      <c r="B7" t="s">
        <v>122</v>
      </c>
      <c r="C7" t="s">
        <v>22</v>
      </c>
    </row>
    <row r="8" spans="1:5" x14ac:dyDescent="0.25">
      <c r="A8">
        <f t="shared" si="0"/>
        <v>7</v>
      </c>
      <c r="B8" t="s">
        <v>126</v>
      </c>
      <c r="C8" t="s">
        <v>22</v>
      </c>
    </row>
    <row r="9" spans="1:5" x14ac:dyDescent="0.25">
      <c r="A9">
        <f t="shared" si="0"/>
        <v>8</v>
      </c>
      <c r="B9" t="s">
        <v>136</v>
      </c>
      <c r="C9" t="s">
        <v>22</v>
      </c>
    </row>
    <row r="10" spans="1:5" x14ac:dyDescent="0.25">
      <c r="A10">
        <f t="shared" si="0"/>
        <v>9</v>
      </c>
      <c r="B10" t="s">
        <v>25</v>
      </c>
      <c r="C10" t="s">
        <v>26</v>
      </c>
      <c r="D10">
        <v>1</v>
      </c>
    </row>
    <row r="11" spans="1:5" x14ac:dyDescent="0.25">
      <c r="A11">
        <f t="shared" si="0"/>
        <v>10</v>
      </c>
      <c r="B11" t="s">
        <v>38</v>
      </c>
      <c r="C11" t="s">
        <v>26</v>
      </c>
      <c r="D11">
        <v>1</v>
      </c>
    </row>
    <row r="12" spans="1:5" x14ac:dyDescent="0.25">
      <c r="A12">
        <f t="shared" si="0"/>
        <v>11</v>
      </c>
      <c r="B12" t="s">
        <v>70</v>
      </c>
      <c r="C12" t="s">
        <v>26</v>
      </c>
      <c r="D12">
        <v>1</v>
      </c>
    </row>
    <row r="13" spans="1:5" x14ac:dyDescent="0.25">
      <c r="A13">
        <f t="shared" si="0"/>
        <v>12</v>
      </c>
      <c r="B13" t="s">
        <v>96</v>
      </c>
      <c r="C13" t="s">
        <v>26</v>
      </c>
      <c r="D13">
        <v>1</v>
      </c>
    </row>
    <row r="14" spans="1:5" x14ac:dyDescent="0.25">
      <c r="A14">
        <f t="shared" si="0"/>
        <v>13</v>
      </c>
      <c r="B14" t="s">
        <v>101</v>
      </c>
      <c r="C14" t="s">
        <v>26</v>
      </c>
      <c r="D14">
        <v>1</v>
      </c>
    </row>
    <row r="15" spans="1:5" x14ac:dyDescent="0.25">
      <c r="A15">
        <f t="shared" si="0"/>
        <v>14</v>
      </c>
      <c r="B15" t="s">
        <v>110</v>
      </c>
      <c r="C15" t="s">
        <v>26</v>
      </c>
    </row>
    <row r="16" spans="1:5" x14ac:dyDescent="0.25">
      <c r="A16">
        <f t="shared" si="0"/>
        <v>15</v>
      </c>
      <c r="B16" t="s">
        <v>112</v>
      </c>
      <c r="C16" t="s">
        <v>26</v>
      </c>
    </row>
    <row r="17" spans="1:5" x14ac:dyDescent="0.25">
      <c r="A17">
        <f t="shared" si="0"/>
        <v>16</v>
      </c>
      <c r="B17" t="s">
        <v>128</v>
      </c>
      <c r="C17" t="s">
        <v>26</v>
      </c>
    </row>
    <row r="18" spans="1:5" x14ac:dyDescent="0.25">
      <c r="A18">
        <f t="shared" si="0"/>
        <v>17</v>
      </c>
      <c r="B18" t="s">
        <v>130</v>
      </c>
      <c r="C18" t="s">
        <v>26</v>
      </c>
    </row>
    <row r="19" spans="1:5" x14ac:dyDescent="0.25">
      <c r="A19">
        <f t="shared" si="0"/>
        <v>18</v>
      </c>
      <c r="B19" t="s">
        <v>131</v>
      </c>
      <c r="C19" t="s">
        <v>26</v>
      </c>
    </row>
    <row r="20" spans="1:5" x14ac:dyDescent="0.25">
      <c r="A20">
        <f t="shared" si="0"/>
        <v>19</v>
      </c>
      <c r="B20" t="s">
        <v>132</v>
      </c>
      <c r="C20" t="s">
        <v>26</v>
      </c>
    </row>
    <row r="21" spans="1:5" x14ac:dyDescent="0.25">
      <c r="A21">
        <f t="shared" si="0"/>
        <v>20</v>
      </c>
      <c r="B21" t="s">
        <v>20</v>
      </c>
      <c r="C21" t="s">
        <v>61</v>
      </c>
      <c r="D21">
        <v>1</v>
      </c>
    </row>
    <row r="22" spans="1:5" x14ac:dyDescent="0.25">
      <c r="A22">
        <f t="shared" si="0"/>
        <v>21</v>
      </c>
      <c r="B22" t="s">
        <v>94</v>
      </c>
      <c r="C22" t="s">
        <v>61</v>
      </c>
      <c r="D22">
        <v>1</v>
      </c>
    </row>
    <row r="23" spans="1:5" x14ac:dyDescent="0.25">
      <c r="A23">
        <f t="shared" si="0"/>
        <v>22</v>
      </c>
      <c r="B23" t="s">
        <v>79</v>
      </c>
      <c r="C23" t="s">
        <v>61</v>
      </c>
      <c r="D23">
        <v>1</v>
      </c>
    </row>
    <row r="24" spans="1:5" x14ac:dyDescent="0.25">
      <c r="A24">
        <f t="shared" si="0"/>
        <v>23</v>
      </c>
      <c r="B24" t="s">
        <v>86</v>
      </c>
      <c r="C24" t="s">
        <v>61</v>
      </c>
      <c r="D24">
        <v>1</v>
      </c>
    </row>
    <row r="25" spans="1:5" x14ac:dyDescent="0.25">
      <c r="A25">
        <f t="shared" si="0"/>
        <v>24</v>
      </c>
      <c r="B25" t="s">
        <v>29</v>
      </c>
      <c r="C25" t="s">
        <v>32</v>
      </c>
      <c r="D25">
        <v>1</v>
      </c>
      <c r="E25" t="s">
        <v>31</v>
      </c>
    </row>
    <row r="26" spans="1:5" x14ac:dyDescent="0.25">
      <c r="A26">
        <f t="shared" si="0"/>
        <v>25</v>
      </c>
      <c r="B26" t="s">
        <v>27</v>
      </c>
      <c r="C26" t="s">
        <v>32</v>
      </c>
      <c r="D26">
        <v>1</v>
      </c>
    </row>
    <row r="27" spans="1:5" x14ac:dyDescent="0.25">
      <c r="A27">
        <f t="shared" si="0"/>
        <v>26</v>
      </c>
      <c r="B27" t="s">
        <v>65</v>
      </c>
      <c r="C27" t="s">
        <v>32</v>
      </c>
      <c r="D27">
        <v>1</v>
      </c>
    </row>
    <row r="28" spans="1:5" x14ac:dyDescent="0.25">
      <c r="A28">
        <f t="shared" si="0"/>
        <v>27</v>
      </c>
      <c r="B28" t="s">
        <v>124</v>
      </c>
      <c r="C28" t="s">
        <v>13</v>
      </c>
    </row>
    <row r="29" spans="1:5" x14ac:dyDescent="0.25">
      <c r="A29">
        <f t="shared" si="0"/>
        <v>28</v>
      </c>
      <c r="B29" t="s">
        <v>11</v>
      </c>
      <c r="C29" t="s">
        <v>13</v>
      </c>
      <c r="D29">
        <v>1</v>
      </c>
    </row>
    <row r="30" spans="1:5" x14ac:dyDescent="0.25">
      <c r="A30">
        <f t="shared" si="0"/>
        <v>29</v>
      </c>
      <c r="B30" t="s">
        <v>35</v>
      </c>
      <c r="C30" t="s">
        <v>13</v>
      </c>
      <c r="D30">
        <v>1</v>
      </c>
    </row>
    <row r="31" spans="1:5" x14ac:dyDescent="0.25">
      <c r="A31">
        <f t="shared" si="0"/>
        <v>30</v>
      </c>
      <c r="B31" t="s">
        <v>73</v>
      </c>
      <c r="C31" t="s">
        <v>13</v>
      </c>
      <c r="D31">
        <v>1</v>
      </c>
    </row>
    <row r="32" spans="1:5" x14ac:dyDescent="0.25">
      <c r="A32">
        <f t="shared" si="0"/>
        <v>31</v>
      </c>
      <c r="B32" t="s">
        <v>18</v>
      </c>
      <c r="C32" t="s">
        <v>13</v>
      </c>
      <c r="D32">
        <v>1</v>
      </c>
    </row>
    <row r="33" spans="1:5" x14ac:dyDescent="0.25">
      <c r="A33">
        <f t="shared" si="0"/>
        <v>32</v>
      </c>
      <c r="B33" t="s">
        <v>14</v>
      </c>
      <c r="C33" t="s">
        <v>13</v>
      </c>
      <c r="D33">
        <v>1</v>
      </c>
    </row>
    <row r="34" spans="1:5" x14ac:dyDescent="0.25">
      <c r="A34">
        <f t="shared" si="0"/>
        <v>33</v>
      </c>
      <c r="B34" t="s">
        <v>45</v>
      </c>
      <c r="C34" t="s">
        <v>13</v>
      </c>
      <c r="D34">
        <v>1</v>
      </c>
    </row>
    <row r="35" spans="1:5" x14ac:dyDescent="0.25">
      <c r="A35">
        <f t="shared" ref="A35:A55" si="1">A34+1</f>
        <v>34</v>
      </c>
      <c r="B35" t="s">
        <v>82</v>
      </c>
      <c r="C35" t="s">
        <v>13</v>
      </c>
      <c r="D35">
        <v>1</v>
      </c>
      <c r="E35" t="s">
        <v>63</v>
      </c>
    </row>
    <row r="36" spans="1:5" x14ac:dyDescent="0.25">
      <c r="A36">
        <f t="shared" si="1"/>
        <v>35</v>
      </c>
      <c r="B36" t="s">
        <v>77</v>
      </c>
      <c r="C36" t="s">
        <v>13</v>
      </c>
      <c r="D36">
        <v>1</v>
      </c>
    </row>
    <row r="37" spans="1:5" x14ac:dyDescent="0.25">
      <c r="A37">
        <f t="shared" si="1"/>
        <v>36</v>
      </c>
      <c r="B37" t="s">
        <v>91</v>
      </c>
      <c r="C37" t="s">
        <v>13</v>
      </c>
      <c r="D37">
        <v>1</v>
      </c>
    </row>
    <row r="38" spans="1:5" x14ac:dyDescent="0.25">
      <c r="A38">
        <f t="shared" si="1"/>
        <v>37</v>
      </c>
      <c r="B38" t="s">
        <v>98</v>
      </c>
      <c r="C38" t="s">
        <v>13</v>
      </c>
      <c r="D38">
        <v>1</v>
      </c>
    </row>
    <row r="39" spans="1:5" x14ac:dyDescent="0.25">
      <c r="A39">
        <f t="shared" si="1"/>
        <v>38</v>
      </c>
      <c r="B39" t="s">
        <v>104</v>
      </c>
      <c r="C39" t="s">
        <v>13</v>
      </c>
      <c r="D39">
        <v>1</v>
      </c>
      <c r="E39" t="s">
        <v>106</v>
      </c>
    </row>
    <row r="40" spans="1:5" x14ac:dyDescent="0.25">
      <c r="A40">
        <f t="shared" si="1"/>
        <v>39</v>
      </c>
      <c r="B40" t="s">
        <v>107</v>
      </c>
      <c r="C40" t="s">
        <v>13</v>
      </c>
    </row>
    <row r="41" spans="1:5" x14ac:dyDescent="0.25">
      <c r="A41">
        <f t="shared" si="1"/>
        <v>40</v>
      </c>
      <c r="B41" t="s">
        <v>55</v>
      </c>
      <c r="C41" t="s">
        <v>60</v>
      </c>
      <c r="D41">
        <v>1</v>
      </c>
    </row>
    <row r="42" spans="1:5" x14ac:dyDescent="0.25">
      <c r="A42">
        <f t="shared" si="1"/>
        <v>41</v>
      </c>
      <c r="B42" t="s">
        <v>58</v>
      </c>
      <c r="C42" t="s">
        <v>60</v>
      </c>
      <c r="D42">
        <v>1</v>
      </c>
    </row>
    <row r="43" spans="1:5" x14ac:dyDescent="0.25">
      <c r="A43">
        <f t="shared" si="1"/>
        <v>42</v>
      </c>
      <c r="B43" t="s">
        <v>57</v>
      </c>
      <c r="C43" t="s">
        <v>60</v>
      </c>
      <c r="D43">
        <v>1</v>
      </c>
    </row>
    <row r="44" spans="1:5" x14ac:dyDescent="0.25">
      <c r="A44">
        <f t="shared" si="1"/>
        <v>43</v>
      </c>
      <c r="B44" t="s">
        <v>46</v>
      </c>
      <c r="C44" t="s">
        <v>60</v>
      </c>
      <c r="D44">
        <v>1</v>
      </c>
      <c r="E44" t="s">
        <v>133</v>
      </c>
    </row>
    <row r="45" spans="1:5" x14ac:dyDescent="0.25">
      <c r="A45">
        <f t="shared" si="1"/>
        <v>44</v>
      </c>
      <c r="B45" t="s">
        <v>40</v>
      </c>
      <c r="C45" t="s">
        <v>60</v>
      </c>
      <c r="D45">
        <v>1</v>
      </c>
    </row>
    <row r="46" spans="1:5" x14ac:dyDescent="0.25">
      <c r="A46">
        <f t="shared" si="1"/>
        <v>45</v>
      </c>
      <c r="B46" t="s">
        <v>75</v>
      </c>
      <c r="C46" t="s">
        <v>60</v>
      </c>
      <c r="D46">
        <v>1</v>
      </c>
    </row>
    <row r="47" spans="1:5" x14ac:dyDescent="0.25">
      <c r="A47">
        <f t="shared" si="1"/>
        <v>46</v>
      </c>
      <c r="B47" t="s">
        <v>109</v>
      </c>
      <c r="C47" t="s">
        <v>60</v>
      </c>
    </row>
    <row r="48" spans="1:5" x14ac:dyDescent="0.25">
      <c r="A48">
        <f t="shared" si="1"/>
        <v>47</v>
      </c>
      <c r="B48" t="s">
        <v>119</v>
      </c>
      <c r="C48" t="s">
        <v>60</v>
      </c>
    </row>
    <row r="49" spans="1:4" x14ac:dyDescent="0.25">
      <c r="A49">
        <f t="shared" si="1"/>
        <v>48</v>
      </c>
      <c r="B49" t="s">
        <v>52</v>
      </c>
      <c r="C49" t="s">
        <v>59</v>
      </c>
      <c r="D49">
        <v>1</v>
      </c>
    </row>
    <row r="50" spans="1:4" x14ac:dyDescent="0.25">
      <c r="A50">
        <f t="shared" si="1"/>
        <v>49</v>
      </c>
      <c r="B50" t="s">
        <v>48</v>
      </c>
      <c r="C50" t="s">
        <v>59</v>
      </c>
      <c r="D50">
        <v>1</v>
      </c>
    </row>
    <row r="51" spans="1:4" x14ac:dyDescent="0.25">
      <c r="A51">
        <f t="shared" si="1"/>
        <v>50</v>
      </c>
      <c r="B51" t="s">
        <v>36</v>
      </c>
      <c r="C51" t="s">
        <v>22</v>
      </c>
      <c r="D51">
        <v>1</v>
      </c>
    </row>
    <row r="52" spans="1:4" x14ac:dyDescent="0.25">
      <c r="A52">
        <f t="shared" si="1"/>
        <v>51</v>
      </c>
      <c r="B52" t="s">
        <v>23</v>
      </c>
      <c r="C52" t="s">
        <v>22</v>
      </c>
      <c r="D52">
        <v>2</v>
      </c>
    </row>
    <row r="53" spans="1:4" x14ac:dyDescent="0.25">
      <c r="A53">
        <f t="shared" si="1"/>
        <v>52</v>
      </c>
      <c r="B53" t="s">
        <v>21</v>
      </c>
      <c r="C53" t="s">
        <v>22</v>
      </c>
      <c r="D53">
        <v>1</v>
      </c>
    </row>
    <row r="54" spans="1:4" x14ac:dyDescent="0.25">
      <c r="A54">
        <f t="shared" si="1"/>
        <v>53</v>
      </c>
      <c r="B54" t="s">
        <v>138</v>
      </c>
      <c r="C54" t="s">
        <v>22</v>
      </c>
      <c r="D54">
        <v>1</v>
      </c>
    </row>
    <row r="55" spans="1:4" x14ac:dyDescent="0.25">
      <c r="A55">
        <f t="shared" si="1"/>
        <v>54</v>
      </c>
      <c r="B55" t="s">
        <v>17</v>
      </c>
      <c r="C55" t="s">
        <v>22</v>
      </c>
    </row>
    <row r="56" spans="1:4" x14ac:dyDescent="0.25">
      <c r="A56">
        <f>A55+1</f>
        <v>55</v>
      </c>
      <c r="B56" t="s">
        <v>151</v>
      </c>
      <c r="C56" t="s">
        <v>32</v>
      </c>
    </row>
    <row r="57" spans="1:4" x14ac:dyDescent="0.25">
      <c r="A57">
        <f>A56+1</f>
        <v>56</v>
      </c>
      <c r="B57" t="s">
        <v>143</v>
      </c>
      <c r="C57" t="s">
        <v>32</v>
      </c>
    </row>
    <row r="58" spans="1:4" x14ac:dyDescent="0.25">
      <c r="A58">
        <f>A57+1</f>
        <v>57</v>
      </c>
      <c r="B58" t="s">
        <v>144</v>
      </c>
      <c r="C58" t="s">
        <v>32</v>
      </c>
    </row>
    <row r="59" spans="1:4" x14ac:dyDescent="0.25">
      <c r="A59">
        <f>A58+1</f>
        <v>58</v>
      </c>
      <c r="B59" t="s">
        <v>145</v>
      </c>
      <c r="C59" t="s">
        <v>32</v>
      </c>
    </row>
    <row r="60" spans="1:4" x14ac:dyDescent="0.25">
      <c r="A60">
        <f>A59+1</f>
        <v>59</v>
      </c>
      <c r="B60" t="s">
        <v>146</v>
      </c>
      <c r="C60" t="s">
        <v>32</v>
      </c>
    </row>
    <row r="61" spans="1:4" x14ac:dyDescent="0.25">
      <c r="A61">
        <f>A60+1</f>
        <v>60</v>
      </c>
      <c r="B61" t="s">
        <v>147</v>
      </c>
      <c r="C61" t="s">
        <v>32</v>
      </c>
    </row>
    <row r="62" spans="1:4" x14ac:dyDescent="0.25">
      <c r="A62">
        <f>A61+1</f>
        <v>61</v>
      </c>
      <c r="B62" t="s">
        <v>148</v>
      </c>
      <c r="C62" t="s">
        <v>32</v>
      </c>
    </row>
    <row r="63" spans="1:4" x14ac:dyDescent="0.25">
      <c r="A63">
        <f>A62+1</f>
        <v>62</v>
      </c>
      <c r="B63" t="s">
        <v>149</v>
      </c>
      <c r="C63" t="s">
        <v>32</v>
      </c>
    </row>
    <row r="64" spans="1:4" x14ac:dyDescent="0.25">
      <c r="A64">
        <f>A63+1</f>
        <v>63</v>
      </c>
      <c r="B64" t="s">
        <v>154</v>
      </c>
      <c r="C64" t="s">
        <v>32</v>
      </c>
    </row>
    <row r="65" spans="1:5" x14ac:dyDescent="0.25">
      <c r="A65">
        <f>A64+1</f>
        <v>64</v>
      </c>
      <c r="B65" t="s">
        <v>155</v>
      </c>
      <c r="C65" t="s">
        <v>32</v>
      </c>
    </row>
    <row r="66" spans="1:5" x14ac:dyDescent="0.25">
      <c r="A66">
        <f>A65+1</f>
        <v>65</v>
      </c>
      <c r="B66" t="s">
        <v>156</v>
      </c>
      <c r="C66" t="s">
        <v>32</v>
      </c>
    </row>
    <row r="67" spans="1:5" x14ac:dyDescent="0.25">
      <c r="A67">
        <f>A66+1</f>
        <v>66</v>
      </c>
      <c r="B67" t="s">
        <v>157</v>
      </c>
      <c r="C67" t="s">
        <v>32</v>
      </c>
    </row>
    <row r="68" spans="1:5" x14ac:dyDescent="0.25">
      <c r="A68">
        <f>A67+1</f>
        <v>67</v>
      </c>
      <c r="B68" t="s">
        <v>158</v>
      </c>
      <c r="C68" t="s">
        <v>32</v>
      </c>
    </row>
    <row r="69" spans="1:5" x14ac:dyDescent="0.25">
      <c r="A69">
        <f>A68+1</f>
        <v>68</v>
      </c>
      <c r="B69" t="s">
        <v>159</v>
      </c>
      <c r="C69" t="s">
        <v>32</v>
      </c>
    </row>
    <row r="70" spans="1:5" x14ac:dyDescent="0.25">
      <c r="A70">
        <f>A69+1</f>
        <v>69</v>
      </c>
      <c r="B70" t="s">
        <v>160</v>
      </c>
      <c r="C70" t="s">
        <v>32</v>
      </c>
    </row>
    <row r="71" spans="1:5" x14ac:dyDescent="0.25">
      <c r="A71">
        <f>A70+1</f>
        <v>70</v>
      </c>
      <c r="B71" t="s">
        <v>161</v>
      </c>
      <c r="C71" t="s">
        <v>32</v>
      </c>
    </row>
    <row r="72" spans="1:5" x14ac:dyDescent="0.25">
      <c r="A72">
        <f>A71+1</f>
        <v>71</v>
      </c>
      <c r="B72" t="s">
        <v>162</v>
      </c>
      <c r="C72" t="s">
        <v>32</v>
      </c>
    </row>
    <row r="73" spans="1:5" x14ac:dyDescent="0.25">
      <c r="A73">
        <f>A72+1</f>
        <v>72</v>
      </c>
      <c r="B73" t="s">
        <v>163</v>
      </c>
      <c r="C73" t="s">
        <v>32</v>
      </c>
    </row>
    <row r="74" spans="1:5" x14ac:dyDescent="0.25">
      <c r="A74">
        <f>A73+1</f>
        <v>73</v>
      </c>
      <c r="B74" t="s">
        <v>164</v>
      </c>
      <c r="C74" t="s">
        <v>32</v>
      </c>
    </row>
    <row r="75" spans="1:5" x14ac:dyDescent="0.25">
      <c r="A75">
        <f>A74+1</f>
        <v>74</v>
      </c>
      <c r="B75" t="s">
        <v>165</v>
      </c>
      <c r="C75" t="s">
        <v>32</v>
      </c>
    </row>
    <row r="76" spans="1:5" x14ac:dyDescent="0.25">
      <c r="A76">
        <f>A75+1</f>
        <v>75</v>
      </c>
      <c r="B76" t="s">
        <v>166</v>
      </c>
      <c r="C76" t="s">
        <v>32</v>
      </c>
    </row>
    <row r="77" spans="1:5" x14ac:dyDescent="0.25">
      <c r="A77">
        <f>A76+1</f>
        <v>76</v>
      </c>
      <c r="B77" t="s">
        <v>171</v>
      </c>
      <c r="C77" t="s">
        <v>22</v>
      </c>
    </row>
    <row r="78" spans="1:5" x14ac:dyDescent="0.25">
      <c r="A78">
        <f>A77+1</f>
        <v>77</v>
      </c>
      <c r="B78" t="s">
        <v>168</v>
      </c>
      <c r="C78" t="s">
        <v>26</v>
      </c>
    </row>
    <row r="79" spans="1:5" x14ac:dyDescent="0.25">
      <c r="A79">
        <f>A78+1</f>
        <v>78</v>
      </c>
      <c r="B79" t="s">
        <v>177</v>
      </c>
      <c r="C79" t="s">
        <v>22</v>
      </c>
      <c r="E79" t="s">
        <v>178</v>
      </c>
    </row>
  </sheetData>
  <conditionalFormatting sqref="B56:B1048576 B1">
    <cfRule type="duplicateValues" dxfId="1" priority="6"/>
  </conditionalFormatting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6665419-E783-4680-BB76-425AAC7D5F1E}">
          <x14:formula1>
            <xm:f>nodetypes!$A$1:$A$7</xm:f>
          </x14:formula1>
          <xm:sqref>C56:C79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AFF5A-3B47-4A9E-B9D2-1AC80C98786F}">
  <sheetPr codeName="Sheet2"/>
  <dimension ref="A1:G100"/>
  <sheetViews>
    <sheetView tabSelected="1" workbookViewId="0">
      <pane ySplit="1" topLeftCell="A81" activePane="bottomLeft" state="frozen"/>
      <selection pane="bottomLeft" activeCell="H100" sqref="H100"/>
    </sheetView>
  </sheetViews>
  <sheetFormatPr defaultRowHeight="15" x14ac:dyDescent="0.25"/>
  <cols>
    <col min="1" max="1" width="8.42578125" customWidth="1"/>
    <col min="3" max="3" width="9.42578125" customWidth="1"/>
    <col min="4" max="4" width="20.5703125" bestFit="1" customWidth="1"/>
    <col min="5" max="5" width="24.85546875" bestFit="1" customWidth="1"/>
    <col min="6" max="6" width="24.85546875" customWidth="1"/>
    <col min="7" max="7" width="15" customWidth="1"/>
  </cols>
  <sheetData>
    <row r="1" spans="1:7" x14ac:dyDescent="0.25">
      <c r="A1" t="s">
        <v>0</v>
      </c>
      <c r="B1" t="s">
        <v>1</v>
      </c>
      <c r="C1" t="s">
        <v>7</v>
      </c>
      <c r="D1" t="s">
        <v>2</v>
      </c>
      <c r="E1" t="s">
        <v>8</v>
      </c>
      <c r="F1" t="s">
        <v>10</v>
      </c>
      <c r="G1" t="s">
        <v>3</v>
      </c>
    </row>
    <row r="2" spans="1:7" x14ac:dyDescent="0.25">
      <c r="A2" cm="1">
        <f t="array" ref="A2">_xlfn.XLOOKUP(C2,nodes_t[[#All],[node]],nodes_t[[#All],[id]],0,0)</f>
        <v>4</v>
      </c>
      <c r="B2" cm="1">
        <f t="array" ref="B2">_xlfn.XLOOKUP(E2,nodes_t[[#All],[node]],nodes_t[[#All],[id]],0,0)</f>
        <v>11</v>
      </c>
      <c r="C2" t="s">
        <v>68</v>
      </c>
      <c r="D2" t="s">
        <v>69</v>
      </c>
      <c r="E2" t="s">
        <v>70</v>
      </c>
      <c r="F2" t="s">
        <v>71</v>
      </c>
    </row>
    <row r="3" spans="1:7" x14ac:dyDescent="0.25">
      <c r="A3" cm="1">
        <f t="array" ref="A3">_xlfn.XLOOKUP(C3,nodes_t[[#All],[node]],nodes_t[[#All],[id]],0,0)</f>
        <v>53</v>
      </c>
      <c r="B3" cm="1">
        <f t="array" ref="B3">_xlfn.XLOOKUP(E3,nodes_t[[#All],[node]],nodes_t[[#All],[id]],0,0)</f>
        <v>44</v>
      </c>
      <c r="C3" t="s">
        <v>138</v>
      </c>
      <c r="D3" t="s">
        <v>39</v>
      </c>
      <c r="E3" t="s">
        <v>40</v>
      </c>
      <c r="F3" t="s">
        <v>140</v>
      </c>
      <c r="G3" t="s">
        <v>42</v>
      </c>
    </row>
    <row r="4" spans="1:7" x14ac:dyDescent="0.25">
      <c r="A4" cm="1">
        <f t="array" ref="A4">_xlfn.XLOOKUP(C4,nodes_t[[#All],[node]],nodes_t[[#All],[id]],0,0)</f>
        <v>43</v>
      </c>
      <c r="B4" cm="1">
        <f t="array" ref="B4">_xlfn.XLOOKUP(E4,nodes_t[[#All],[node]],nodes_t[[#All],[id]],0,0)</f>
        <v>33</v>
      </c>
      <c r="C4" t="s">
        <v>46</v>
      </c>
      <c r="D4" t="s">
        <v>44</v>
      </c>
      <c r="E4" t="s">
        <v>45</v>
      </c>
      <c r="F4" t="s">
        <v>140</v>
      </c>
    </row>
    <row r="5" spans="1:7" x14ac:dyDescent="0.25">
      <c r="A5" cm="1">
        <f t="array" ref="A5">_xlfn.XLOOKUP(C5,nodes_t[[#All],[node]],nodes_t[[#All],[id]],0,0)</f>
        <v>4</v>
      </c>
      <c r="B5" cm="1">
        <f t="array" ref="B5">_xlfn.XLOOKUP(E5,nodes_t[[#All],[node]],nodes_t[[#All],[id]],0,0)</f>
        <v>53</v>
      </c>
      <c r="C5" t="s">
        <v>115</v>
      </c>
      <c r="D5" t="s">
        <v>116</v>
      </c>
      <c r="E5" t="s">
        <v>138</v>
      </c>
      <c r="F5" t="s">
        <v>139</v>
      </c>
    </row>
    <row r="6" spans="1:7" x14ac:dyDescent="0.25">
      <c r="A6" cm="1">
        <f t="array" ref="A6">_xlfn.XLOOKUP(C6,nodes_t[[#All],[node]],nodes_t[[#All],[id]],0,0)</f>
        <v>25</v>
      </c>
      <c r="B6" cm="1">
        <f t="array" ref="B6">_xlfn.XLOOKUP(E6,nodes_t[[#All],[node]],nodes_t[[#All],[id]],0,0)</f>
        <v>5</v>
      </c>
      <c r="C6" t="s">
        <v>27</v>
      </c>
      <c r="D6" t="s">
        <v>117</v>
      </c>
      <c r="E6" t="s">
        <v>84</v>
      </c>
      <c r="F6" t="s">
        <v>139</v>
      </c>
      <c r="G6" t="s">
        <v>121</v>
      </c>
    </row>
    <row r="7" spans="1:7" x14ac:dyDescent="0.25">
      <c r="A7" cm="1">
        <f t="array" ref="A7">_xlfn.XLOOKUP(C7,nodes_t[[#All],[node]],nodes_t[[#All],[id]],0,0)</f>
        <v>5</v>
      </c>
      <c r="B7" cm="1">
        <f t="array" ref="B7">_xlfn.XLOOKUP(E7,nodes_t[[#All],[node]],nodes_t[[#All],[id]],0,0)</f>
        <v>47</v>
      </c>
      <c r="C7" t="s">
        <v>84</v>
      </c>
      <c r="D7" t="s">
        <v>118</v>
      </c>
      <c r="E7" t="s">
        <v>119</v>
      </c>
      <c r="F7" t="s">
        <v>139</v>
      </c>
      <c r="G7" t="s">
        <v>120</v>
      </c>
    </row>
    <row r="8" spans="1:7" x14ac:dyDescent="0.25">
      <c r="A8" cm="1">
        <f t="array" ref="A8">_xlfn.XLOOKUP(C8,nodes_t[[#All],[node]],nodes_t[[#All],[id]],0,0)</f>
        <v>52</v>
      </c>
      <c r="B8" cm="1">
        <f t="array" ref="B8">_xlfn.XLOOKUP(E8,nodes_t[[#All],[node]],nodes_t[[#All],[id]],0,0)</f>
        <v>6</v>
      </c>
      <c r="C8" t="s">
        <v>21</v>
      </c>
      <c r="D8" t="s">
        <v>85</v>
      </c>
      <c r="E8" t="s">
        <v>122</v>
      </c>
      <c r="F8" t="s">
        <v>139</v>
      </c>
      <c r="G8" t="s">
        <v>123</v>
      </c>
    </row>
    <row r="9" spans="1:7" x14ac:dyDescent="0.25">
      <c r="A9" cm="1">
        <f t="array" ref="A9">_xlfn.XLOOKUP(C9,nodes_t[[#All],[node]],nodes_t[[#All],[id]],0,0)</f>
        <v>25</v>
      </c>
      <c r="B9" cm="1">
        <f t="array" ref="B9">_xlfn.XLOOKUP(E9,nodes_t[[#All],[node]],nodes_t[[#All],[id]],0,0)</f>
        <v>7</v>
      </c>
      <c r="C9" t="s">
        <v>27</v>
      </c>
      <c r="D9" t="s">
        <v>87</v>
      </c>
      <c r="E9" t="s">
        <v>126</v>
      </c>
      <c r="F9" t="s">
        <v>139</v>
      </c>
    </row>
    <row r="10" spans="1:7" ht="15.75" x14ac:dyDescent="0.25">
      <c r="A10" cm="1">
        <f t="array" ref="A10">_xlfn.XLOOKUP(C10,nodes_t[[#All],[node]],nodes_t[[#All],[id]],0,0)</f>
        <v>28</v>
      </c>
      <c r="B10" cm="1">
        <f t="array" ref="B10">_xlfn.XLOOKUP(E10,nodes_t[[#All],[node]],nodes_t[[#All],[id]],0,0)</f>
        <v>51</v>
      </c>
      <c r="C10" s="1" t="s">
        <v>11</v>
      </c>
      <c r="D10" t="s">
        <v>12</v>
      </c>
      <c r="E10" t="s">
        <v>23</v>
      </c>
      <c r="F10" t="s">
        <v>141</v>
      </c>
    </row>
    <row r="11" spans="1:7" x14ac:dyDescent="0.25">
      <c r="A11" cm="1">
        <f t="array" ref="A11">_xlfn.XLOOKUP(C11,nodes_t[[#All],[node]],nodes_t[[#All],[id]],0,0)</f>
        <v>32</v>
      </c>
      <c r="B11" cm="1">
        <f t="array" ref="B11">_xlfn.XLOOKUP(E11,nodes_t[[#All],[node]],nodes_t[[#All],[id]],0,0)</f>
        <v>21</v>
      </c>
      <c r="C11" t="s">
        <v>14</v>
      </c>
      <c r="D11" t="s">
        <v>15</v>
      </c>
      <c r="E11" t="s">
        <v>94</v>
      </c>
      <c r="F11" t="s">
        <v>141</v>
      </c>
    </row>
    <row r="12" spans="1:7" x14ac:dyDescent="0.25">
      <c r="A12" cm="1">
        <f t="array" ref="A12">_xlfn.XLOOKUP(C12,nodes_t[[#All],[node]],nodes_t[[#All],[id]],0,0)</f>
        <v>31</v>
      </c>
      <c r="B12" cm="1">
        <f t="array" ref="B12">_xlfn.XLOOKUP(E12,nodes_t[[#All],[node]],nodes_t[[#All],[id]],0,0)</f>
        <v>20</v>
      </c>
      <c r="C12" t="s">
        <v>18</v>
      </c>
      <c r="D12" t="s">
        <v>19</v>
      </c>
      <c r="E12" t="s">
        <v>20</v>
      </c>
      <c r="F12" t="s">
        <v>141</v>
      </c>
    </row>
    <row r="13" spans="1:7" x14ac:dyDescent="0.25">
      <c r="A13" cm="1">
        <f t="array" ref="A13">_xlfn.XLOOKUP(C13,nodes_t[[#All],[node]],nodes_t[[#All],[id]],0,0)</f>
        <v>51</v>
      </c>
      <c r="B13" cm="1">
        <f t="array" ref="B13">_xlfn.XLOOKUP(E13,nodes_t[[#All],[node]],nodes_t[[#All],[id]],0,0)</f>
        <v>9</v>
      </c>
      <c r="C13" t="s">
        <v>23</v>
      </c>
      <c r="D13" t="s">
        <v>24</v>
      </c>
      <c r="E13" t="s">
        <v>25</v>
      </c>
      <c r="F13" t="s">
        <v>141</v>
      </c>
    </row>
    <row r="14" spans="1:7" x14ac:dyDescent="0.25">
      <c r="A14" cm="1">
        <f t="array" ref="A14">_xlfn.XLOOKUP(C14,nodes_t[[#All],[node]],nodes_t[[#All],[id]],0,0)</f>
        <v>25</v>
      </c>
      <c r="B14" cm="1">
        <f t="array" ref="B14">_xlfn.XLOOKUP(E14,nodes_t[[#All],[node]],nodes_t[[#All],[id]],0,0)</f>
        <v>51</v>
      </c>
      <c r="C14" t="s">
        <v>27</v>
      </c>
      <c r="D14" t="s">
        <v>28</v>
      </c>
      <c r="E14" t="s">
        <v>23</v>
      </c>
      <c r="F14" t="s">
        <v>141</v>
      </c>
    </row>
    <row r="15" spans="1:7" x14ac:dyDescent="0.25">
      <c r="A15" cm="1">
        <f t="array" ref="A15">_xlfn.XLOOKUP(C15,nodes_t[[#All],[node]],nodes_t[[#All],[id]],0,0)</f>
        <v>24</v>
      </c>
      <c r="B15" cm="1">
        <f t="array" ref="B15">_xlfn.XLOOKUP(E15,nodes_t[[#All],[node]],nodes_t[[#All],[id]],0,0)</f>
        <v>51</v>
      </c>
      <c r="C15" t="s">
        <v>29</v>
      </c>
      <c r="D15" t="s">
        <v>30</v>
      </c>
      <c r="E15" t="s">
        <v>23</v>
      </c>
      <c r="F15" t="s">
        <v>141</v>
      </c>
    </row>
    <row r="16" spans="1:7" x14ac:dyDescent="0.25">
      <c r="A16" cm="1">
        <f t="array" ref="A16">_xlfn.XLOOKUP(C16,nodes_t[[#All],[node]],nodes_t[[#All],[id]],0,0)</f>
        <v>29</v>
      </c>
      <c r="B16" cm="1">
        <f t="array" ref="B16">_xlfn.XLOOKUP(E16,nodes_t[[#All],[node]],nodes_t[[#All],[id]],0,0)</f>
        <v>51</v>
      </c>
      <c r="C16" t="s">
        <v>35</v>
      </c>
      <c r="D16" t="s">
        <v>33</v>
      </c>
      <c r="E16" t="s">
        <v>23</v>
      </c>
      <c r="F16" t="s">
        <v>141</v>
      </c>
    </row>
    <row r="17" spans="1:7" x14ac:dyDescent="0.25">
      <c r="A17" cm="1">
        <f t="array" ref="A17">_xlfn.XLOOKUP(C17,nodes_t[[#All],[node]],nodes_t[[#All],[id]],0,0)</f>
        <v>25</v>
      </c>
      <c r="B17" cm="1">
        <f t="array" ref="B17">_xlfn.XLOOKUP(E17,nodes_t[[#All],[node]],nodes_t[[#All],[id]],0,0)</f>
        <v>29</v>
      </c>
      <c r="C17" t="s">
        <v>27</v>
      </c>
      <c r="D17" t="s">
        <v>34</v>
      </c>
      <c r="E17" t="s">
        <v>35</v>
      </c>
      <c r="F17" t="s">
        <v>141</v>
      </c>
    </row>
    <row r="18" spans="1:7" x14ac:dyDescent="0.25">
      <c r="A18" cm="1">
        <f t="array" ref="A18">_xlfn.XLOOKUP(C18,nodes_t[[#All],[node]],nodes_t[[#All],[id]],0,0)</f>
        <v>50</v>
      </c>
      <c r="B18" cm="1">
        <f t="array" ref="B18">_xlfn.XLOOKUP(E18,nodes_t[[#All],[node]],nodes_t[[#All],[id]],0,0)</f>
        <v>10</v>
      </c>
      <c r="C18" t="s">
        <v>36</v>
      </c>
      <c r="D18" t="s">
        <v>37</v>
      </c>
      <c r="E18" t="s">
        <v>38</v>
      </c>
      <c r="F18" t="s">
        <v>141</v>
      </c>
    </row>
    <row r="19" spans="1:7" x14ac:dyDescent="0.25">
      <c r="A19" cm="1">
        <f t="array" ref="A19">_xlfn.XLOOKUP(C19,nodes_t[[#All],[node]],nodes_t[[#All],[id]],0,0)</f>
        <v>44</v>
      </c>
      <c r="B19" cm="1">
        <f t="array" ref="B19">_xlfn.XLOOKUP(E19,nodes_t[[#All],[node]],nodes_t[[#All],[id]],0,0)</f>
        <v>3</v>
      </c>
      <c r="C19" t="s">
        <v>40</v>
      </c>
      <c r="D19" t="s">
        <v>41</v>
      </c>
      <c r="E19" t="s">
        <v>92</v>
      </c>
      <c r="F19" t="s">
        <v>141</v>
      </c>
      <c r="G19" t="s">
        <v>43</v>
      </c>
    </row>
    <row r="20" spans="1:7" x14ac:dyDescent="0.25">
      <c r="A20" cm="1">
        <f t="array" ref="A20">_xlfn.XLOOKUP(C20,nodes_t[[#All],[node]],nodes_t[[#All],[id]],0,0)</f>
        <v>43</v>
      </c>
      <c r="B20" cm="1">
        <f t="array" ref="B20">_xlfn.XLOOKUP(E20,nodes_t[[#All],[node]],nodes_t[[#All],[id]],0,0)</f>
        <v>45</v>
      </c>
      <c r="C20" t="s">
        <v>46</v>
      </c>
      <c r="D20" t="s">
        <v>74</v>
      </c>
      <c r="E20" t="s">
        <v>75</v>
      </c>
      <c r="F20" t="s">
        <v>141</v>
      </c>
      <c r="G20" t="s">
        <v>47</v>
      </c>
    </row>
    <row r="21" spans="1:7" x14ac:dyDescent="0.25">
      <c r="A21" cm="1">
        <f t="array" ref="A21">_xlfn.XLOOKUP(C21,nodes_t[[#All],[node]],nodes_t[[#All],[id]],0,0)</f>
        <v>49</v>
      </c>
      <c r="B21" cm="1">
        <f t="array" ref="B21">_xlfn.XLOOKUP(E21,nodes_t[[#All],[node]],nodes_t[[#All],[id]],0,0)</f>
        <v>1</v>
      </c>
      <c r="C21" t="s">
        <v>48</v>
      </c>
      <c r="D21" t="s">
        <v>49</v>
      </c>
      <c r="E21" t="s">
        <v>17</v>
      </c>
      <c r="F21" t="s">
        <v>141</v>
      </c>
      <c r="G21" t="s">
        <v>50</v>
      </c>
    </row>
    <row r="22" spans="1:7" x14ac:dyDescent="0.25">
      <c r="A22" cm="1">
        <f t="array" ref="A22">_xlfn.XLOOKUP(C22,nodes_t[[#All],[node]],nodes_t[[#All],[id]],0,0)</f>
        <v>49</v>
      </c>
      <c r="B22" cm="1">
        <f t="array" ref="B22">_xlfn.XLOOKUP(E22,nodes_t[[#All],[node]],nodes_t[[#All],[id]],0,0)</f>
        <v>48</v>
      </c>
      <c r="C22" t="s">
        <v>48</v>
      </c>
      <c r="D22" t="s">
        <v>51</v>
      </c>
      <c r="E22" t="s">
        <v>52</v>
      </c>
      <c r="F22" t="s">
        <v>141</v>
      </c>
    </row>
    <row r="23" spans="1:7" x14ac:dyDescent="0.25">
      <c r="A23" cm="1">
        <f t="array" ref="A23">_xlfn.XLOOKUP(C23,nodes_t[[#All],[node]],nodes_t[[#All],[id]],0,0)</f>
        <v>30</v>
      </c>
      <c r="B23" cm="1">
        <f t="array" ref="B23">_xlfn.XLOOKUP(E23,nodes_t[[#All],[node]],nodes_t[[#All],[id]],0,0)</f>
        <v>48</v>
      </c>
      <c r="C23" t="s">
        <v>73</v>
      </c>
      <c r="D23" t="s">
        <v>53</v>
      </c>
      <c r="E23" t="s">
        <v>52</v>
      </c>
      <c r="F23" t="s">
        <v>141</v>
      </c>
    </row>
    <row r="24" spans="1:7" x14ac:dyDescent="0.25">
      <c r="A24" cm="1">
        <f t="array" ref="A24">_xlfn.XLOOKUP(C24,nodes_t[[#All],[node]],nodes_t[[#All],[id]],0,0)</f>
        <v>51</v>
      </c>
      <c r="B24" cm="1">
        <f t="array" ref="B24">_xlfn.XLOOKUP(E24,nodes_t[[#All],[node]],nodes_t[[#All],[id]],0,0)</f>
        <v>40</v>
      </c>
      <c r="C24" t="s">
        <v>23</v>
      </c>
      <c r="D24" t="s">
        <v>54</v>
      </c>
      <c r="E24" t="s">
        <v>55</v>
      </c>
      <c r="F24" t="s">
        <v>141</v>
      </c>
    </row>
    <row r="25" spans="1:7" x14ac:dyDescent="0.25">
      <c r="A25" cm="1">
        <f t="array" ref="A25">_xlfn.XLOOKUP(C25,nodes_t[[#All],[node]],nodes_t[[#All],[id]],0,0)</f>
        <v>51</v>
      </c>
      <c r="B25" cm="1">
        <f t="array" ref="B25">_xlfn.XLOOKUP(E25,nodes_t[[#All],[node]],nodes_t[[#All],[id]],0,0)</f>
        <v>42</v>
      </c>
      <c r="C25" t="s">
        <v>23</v>
      </c>
      <c r="D25" t="s">
        <v>56</v>
      </c>
      <c r="E25" t="s">
        <v>57</v>
      </c>
      <c r="F25" t="s">
        <v>141</v>
      </c>
    </row>
    <row r="26" spans="1:7" x14ac:dyDescent="0.25">
      <c r="A26" cm="1">
        <f t="array" ref="A26">_xlfn.XLOOKUP(C26,nodes_t[[#All],[node]],nodes_t[[#All],[id]],0,0)</f>
        <v>51</v>
      </c>
      <c r="B26" cm="1">
        <f t="array" ref="B26">_xlfn.XLOOKUP(E26,nodes_t[[#All],[node]],nodes_t[[#All],[id]],0,0)</f>
        <v>41</v>
      </c>
      <c r="C26" t="s">
        <v>23</v>
      </c>
      <c r="D26" t="s">
        <v>39</v>
      </c>
      <c r="E26" t="s">
        <v>58</v>
      </c>
      <c r="F26" t="s">
        <v>141</v>
      </c>
    </row>
    <row r="27" spans="1:7" x14ac:dyDescent="0.25">
      <c r="A27" cm="1">
        <f t="array" ref="A27">_xlfn.XLOOKUP(C27,nodes_t[[#All],[node]],nodes_t[[#All],[id]],0,0)</f>
        <v>34</v>
      </c>
      <c r="B27" cm="1">
        <f t="array" ref="B27">_xlfn.XLOOKUP(E27,nodes_t[[#All],[node]],nodes_t[[#All],[id]],0,0)</f>
        <v>44</v>
      </c>
      <c r="C27" t="s">
        <v>82</v>
      </c>
      <c r="D27" t="s">
        <v>62</v>
      </c>
      <c r="E27" t="s">
        <v>40</v>
      </c>
      <c r="F27" t="s">
        <v>141</v>
      </c>
    </row>
    <row r="28" spans="1:7" x14ac:dyDescent="0.25">
      <c r="A28" cm="1">
        <f t="array" ref="A28">_xlfn.XLOOKUP(C28,nodes_t[[#All],[node]],nodes_t[[#All],[id]],0,0)</f>
        <v>44</v>
      </c>
      <c r="B28" cm="1">
        <f t="array" ref="B28">_xlfn.XLOOKUP(E28,nodes_t[[#All],[node]],nodes_t[[#All],[id]],0,0)</f>
        <v>26</v>
      </c>
      <c r="C28" t="s">
        <v>40</v>
      </c>
      <c r="D28" t="s">
        <v>64</v>
      </c>
      <c r="E28" t="s">
        <v>65</v>
      </c>
      <c r="F28" t="s">
        <v>141</v>
      </c>
    </row>
    <row r="29" spans="1:7" x14ac:dyDescent="0.25">
      <c r="A29" cm="1">
        <f t="array" ref="A29">_xlfn.XLOOKUP(C29,nodes_t[[#All],[node]],nodes_t[[#All],[id]],0,0)</f>
        <v>25</v>
      </c>
      <c r="B29" cm="1">
        <f t="array" ref="B29">_xlfn.XLOOKUP(E29,nodes_t[[#All],[node]],nodes_t[[#All],[id]],0,0)</f>
        <v>26</v>
      </c>
      <c r="C29" t="s">
        <v>27</v>
      </c>
      <c r="D29" t="s">
        <v>66</v>
      </c>
      <c r="E29" t="s">
        <v>65</v>
      </c>
      <c r="F29" t="s">
        <v>141</v>
      </c>
    </row>
    <row r="30" spans="1:7" x14ac:dyDescent="0.25">
      <c r="A30" cm="1">
        <f t="array" ref="A30">_xlfn.XLOOKUP(C30,nodes_t[[#All],[node]],nodes_t[[#All],[id]],0,0)</f>
        <v>51</v>
      </c>
      <c r="B30" cm="1">
        <f t="array" ref="B30">_xlfn.XLOOKUP(E30,nodes_t[[#All],[node]],nodes_t[[#All],[id]],0,0)</f>
        <v>4</v>
      </c>
      <c r="C30" t="s">
        <v>23</v>
      </c>
      <c r="D30" t="s">
        <v>67</v>
      </c>
      <c r="E30" t="s">
        <v>68</v>
      </c>
      <c r="F30" t="s">
        <v>141</v>
      </c>
    </row>
    <row r="31" spans="1:7" x14ac:dyDescent="0.25">
      <c r="A31" cm="1">
        <f t="array" ref="A31">_xlfn.XLOOKUP(C31,nodes_t[[#All],[node]],nodes_t[[#All],[id]],0,0)</f>
        <v>28</v>
      </c>
      <c r="B31" cm="1">
        <f t="array" ref="B31">_xlfn.XLOOKUP(E31,nodes_t[[#All],[node]],nodes_t[[#All],[id]],0,0)</f>
        <v>20</v>
      </c>
      <c r="C31" t="s">
        <v>11</v>
      </c>
      <c r="D31" t="s">
        <v>72</v>
      </c>
      <c r="E31" t="s">
        <v>20</v>
      </c>
      <c r="F31" t="s">
        <v>141</v>
      </c>
    </row>
    <row r="32" spans="1:7" x14ac:dyDescent="0.25">
      <c r="A32" cm="1">
        <f t="array" ref="A32">_xlfn.XLOOKUP(C32,nodes_t[[#All],[node]],nodes_t[[#All],[id]],0,0)</f>
        <v>30</v>
      </c>
      <c r="B32" cm="1">
        <f t="array" ref="B32">_xlfn.XLOOKUP(E32,nodes_t[[#All],[node]],nodes_t[[#All],[id]],0,0)</f>
        <v>20</v>
      </c>
      <c r="C32" t="s">
        <v>73</v>
      </c>
      <c r="D32" t="s">
        <v>72</v>
      </c>
      <c r="E32" t="s">
        <v>20</v>
      </c>
      <c r="F32" t="s">
        <v>141</v>
      </c>
    </row>
    <row r="33" spans="1:6" x14ac:dyDescent="0.25">
      <c r="A33" cm="1">
        <f t="array" ref="A33">_xlfn.XLOOKUP(C33,nodes_t[[#All],[node]],nodes_t[[#All],[id]],0,0)</f>
        <v>31</v>
      </c>
      <c r="B33" cm="1">
        <f t="array" ref="B33">_xlfn.XLOOKUP(E33,nodes_t[[#All],[node]],nodes_t[[#All],[id]],0,0)</f>
        <v>45</v>
      </c>
      <c r="C33" t="s">
        <v>18</v>
      </c>
      <c r="D33" t="s">
        <v>76</v>
      </c>
      <c r="E33" t="s">
        <v>75</v>
      </c>
      <c r="F33" t="s">
        <v>141</v>
      </c>
    </row>
    <row r="34" spans="1:6" x14ac:dyDescent="0.25">
      <c r="A34" cm="1">
        <f t="array" ref="A34">_xlfn.XLOOKUP(C34,nodes_t[[#All],[node]],nodes_t[[#All],[id]],0,0)</f>
        <v>35</v>
      </c>
      <c r="B34" cm="1">
        <f t="array" ref="B34">_xlfn.XLOOKUP(E34,nodes_t[[#All],[node]],nodes_t[[#All],[id]],0,0)</f>
        <v>22</v>
      </c>
      <c r="C34" t="s">
        <v>77</v>
      </c>
      <c r="D34" t="s">
        <v>78</v>
      </c>
      <c r="E34" t="s">
        <v>79</v>
      </c>
      <c r="F34" t="s">
        <v>141</v>
      </c>
    </row>
    <row r="35" spans="1:6" x14ac:dyDescent="0.25">
      <c r="A35" cm="1">
        <f t="array" ref="A35">_xlfn.XLOOKUP(C35,nodes_t[[#All],[node]],nodes_t[[#All],[id]],0,0)</f>
        <v>35</v>
      </c>
      <c r="B35" cm="1">
        <f t="array" ref="B35">_xlfn.XLOOKUP(E35,nodes_t[[#All],[node]],nodes_t[[#All],[id]],0,0)</f>
        <v>23</v>
      </c>
      <c r="C35" t="s">
        <v>77</v>
      </c>
      <c r="D35" t="s">
        <v>15</v>
      </c>
      <c r="E35" t="s">
        <v>86</v>
      </c>
      <c r="F35" t="s">
        <v>141</v>
      </c>
    </row>
    <row r="36" spans="1:6" x14ac:dyDescent="0.25">
      <c r="A36" cm="1">
        <f t="array" ref="A36">_xlfn.XLOOKUP(C36,nodes_t[[#All],[node]],nodes_t[[#All],[id]],0,0)</f>
        <v>35</v>
      </c>
      <c r="B36" cm="1">
        <f t="array" ref="B36">_xlfn.XLOOKUP(E36,nodes_t[[#All],[node]],nodes_t[[#All],[id]],0,0)</f>
        <v>53</v>
      </c>
      <c r="C36" t="s">
        <v>77</v>
      </c>
      <c r="D36" t="s">
        <v>80</v>
      </c>
      <c r="E36" t="s">
        <v>138</v>
      </c>
      <c r="F36" t="s">
        <v>141</v>
      </c>
    </row>
    <row r="37" spans="1:6" x14ac:dyDescent="0.25">
      <c r="A37" cm="1">
        <f t="array" ref="A37">_xlfn.XLOOKUP(C37,nodes_t[[#All],[node]],nodes_t[[#All],[id]],0,0)</f>
        <v>31</v>
      </c>
      <c r="B37" cm="1">
        <f t="array" ref="B37">_xlfn.XLOOKUP(E37,nodes_t[[#All],[node]],nodes_t[[#All],[id]],0,0)</f>
        <v>53</v>
      </c>
      <c r="C37" t="s">
        <v>18</v>
      </c>
      <c r="D37" t="s">
        <v>81</v>
      </c>
      <c r="E37" t="s">
        <v>138</v>
      </c>
      <c r="F37" t="s">
        <v>141</v>
      </c>
    </row>
    <row r="38" spans="1:6" x14ac:dyDescent="0.25">
      <c r="A38" cm="1">
        <f t="array" ref="A38">_xlfn.XLOOKUP(C38,nodes_t[[#All],[node]],nodes_t[[#All],[id]],0,0)</f>
        <v>4</v>
      </c>
      <c r="B38" cm="1">
        <f t="array" ref="B38">_xlfn.XLOOKUP(E38,nodes_t[[#All],[node]],nodes_t[[#All],[id]],0,0)</f>
        <v>5</v>
      </c>
      <c r="C38" t="s">
        <v>68</v>
      </c>
      <c r="D38" t="s">
        <v>15</v>
      </c>
      <c r="E38" t="s">
        <v>84</v>
      </c>
      <c r="F38" t="s">
        <v>141</v>
      </c>
    </row>
    <row r="39" spans="1:6" x14ac:dyDescent="0.25">
      <c r="A39" cm="1">
        <f t="array" ref="A39">_xlfn.XLOOKUP(C39,nodes_t[[#All],[node]],nodes_t[[#All],[id]],0,0)</f>
        <v>43</v>
      </c>
      <c r="B39" cm="1">
        <f t="array" ref="B39">_xlfn.XLOOKUP(E39,nodes_t[[#All],[node]],nodes_t[[#All],[id]],0,0)</f>
        <v>5</v>
      </c>
      <c r="C39" t="s">
        <v>46</v>
      </c>
      <c r="D39" t="s">
        <v>85</v>
      </c>
      <c r="E39" t="s">
        <v>84</v>
      </c>
      <c r="F39" t="s">
        <v>141</v>
      </c>
    </row>
    <row r="40" spans="1:6" x14ac:dyDescent="0.25">
      <c r="A40" cm="1">
        <f t="array" ref="A40">_xlfn.XLOOKUP(C40,nodes_t[[#All],[node]],nodes_t[[#All],[id]],0,0)</f>
        <v>23</v>
      </c>
      <c r="B40" cm="1">
        <f t="array" ref="B40">_xlfn.XLOOKUP(E40,nodes_t[[#All],[node]],nodes_t[[#All],[id]],0,0)</f>
        <v>43</v>
      </c>
      <c r="C40" t="s">
        <v>86</v>
      </c>
      <c r="D40" t="s">
        <v>33</v>
      </c>
      <c r="E40" t="s">
        <v>46</v>
      </c>
      <c r="F40" t="s">
        <v>141</v>
      </c>
    </row>
    <row r="41" spans="1:6" x14ac:dyDescent="0.25">
      <c r="A41" cm="1">
        <f t="array" ref="A41">_xlfn.XLOOKUP(C41,nodes_t[[#All],[node]],nodes_t[[#All],[id]],0,0)</f>
        <v>25</v>
      </c>
      <c r="B41" cm="1">
        <f t="array" ref="B41">_xlfn.XLOOKUP(E41,nodes_t[[#All],[node]],nodes_t[[#All],[id]],0,0)</f>
        <v>5</v>
      </c>
      <c r="C41" t="s">
        <v>27</v>
      </c>
      <c r="D41" t="s">
        <v>87</v>
      </c>
      <c r="E41" t="s">
        <v>84</v>
      </c>
      <c r="F41" t="s">
        <v>141</v>
      </c>
    </row>
    <row r="42" spans="1:6" x14ac:dyDescent="0.25">
      <c r="A42" cm="1">
        <f t="array" ref="A42">_xlfn.XLOOKUP(C42,nodes_t[[#All],[node]],nodes_t[[#All],[id]],0,0)</f>
        <v>25</v>
      </c>
      <c r="B42" cm="1">
        <f t="array" ref="B42">_xlfn.XLOOKUP(E42,nodes_t[[#All],[node]],nodes_t[[#All],[id]],0,0)</f>
        <v>29</v>
      </c>
      <c r="C42" t="s">
        <v>27</v>
      </c>
      <c r="D42" t="s">
        <v>88</v>
      </c>
      <c r="E42" t="s">
        <v>89</v>
      </c>
      <c r="F42" t="s">
        <v>141</v>
      </c>
    </row>
    <row r="43" spans="1:6" x14ac:dyDescent="0.25">
      <c r="A43" cm="1">
        <f t="array" ref="A43">_xlfn.XLOOKUP(C43,nodes_t[[#All],[node]],nodes_t[[#All],[id]],0,0)</f>
        <v>25</v>
      </c>
      <c r="B43" cm="1">
        <f t="array" ref="B43">_xlfn.XLOOKUP(E43,nodes_t[[#All],[node]],nodes_t[[#All],[id]],0,0)</f>
        <v>36</v>
      </c>
      <c r="C43" t="s">
        <v>27</v>
      </c>
      <c r="D43" t="s">
        <v>90</v>
      </c>
      <c r="E43" t="s">
        <v>91</v>
      </c>
      <c r="F43" t="s">
        <v>141</v>
      </c>
    </row>
    <row r="44" spans="1:6" x14ac:dyDescent="0.25">
      <c r="A44" cm="1">
        <f t="array" ref="A44">_xlfn.XLOOKUP(C44,nodes_t[[#All],[node]],nodes_t[[#All],[id]],0,0)</f>
        <v>35</v>
      </c>
      <c r="B44" cm="1">
        <f t="array" ref="B44">_xlfn.XLOOKUP(E44,nodes_t[[#All],[node]],nodes_t[[#All],[id]],0,0)</f>
        <v>26</v>
      </c>
      <c r="C44" t="s">
        <v>77</v>
      </c>
      <c r="D44" t="s">
        <v>66</v>
      </c>
      <c r="E44" t="s">
        <v>65</v>
      </c>
      <c r="F44" t="s">
        <v>141</v>
      </c>
    </row>
    <row r="45" spans="1:6" x14ac:dyDescent="0.25">
      <c r="A45" cm="1">
        <f t="array" ref="A45">_xlfn.XLOOKUP(C45,nodes_t[[#All],[node]],nodes_t[[#All],[id]],0,0)</f>
        <v>34</v>
      </c>
      <c r="B45" cm="1">
        <f t="array" ref="B45">_xlfn.XLOOKUP(E45,nodes_t[[#All],[node]],nodes_t[[#All],[id]],0,0)</f>
        <v>26</v>
      </c>
      <c r="C45" t="s">
        <v>82</v>
      </c>
      <c r="D45" t="s">
        <v>93</v>
      </c>
      <c r="E45" t="s">
        <v>65</v>
      </c>
      <c r="F45" t="s">
        <v>141</v>
      </c>
    </row>
    <row r="46" spans="1:6" x14ac:dyDescent="0.25">
      <c r="A46" cm="1">
        <f t="array" ref="A46">_xlfn.XLOOKUP(C46,nodes_t[[#All],[node]],nodes_t[[#All],[id]],0,0)</f>
        <v>32</v>
      </c>
      <c r="B46" cm="1">
        <f t="array" ref="B46">_xlfn.XLOOKUP(E46,nodes_t[[#All],[node]],nodes_t[[#All],[id]],0,0)</f>
        <v>20</v>
      </c>
      <c r="C46" t="s">
        <v>14</v>
      </c>
      <c r="D46" t="s">
        <v>72</v>
      </c>
      <c r="E46" t="s">
        <v>20</v>
      </c>
      <c r="F46" t="s">
        <v>141</v>
      </c>
    </row>
    <row r="47" spans="1:6" x14ac:dyDescent="0.25">
      <c r="A47" cm="1">
        <f t="array" ref="A47">_xlfn.XLOOKUP(C47,nodes_t[[#All],[node]],nodes_t[[#All],[id]],0,0)</f>
        <v>2</v>
      </c>
      <c r="B47" cm="1">
        <f t="array" ref="B47">_xlfn.XLOOKUP(E47,nodes_t[[#All],[node]],nodes_t[[#All],[id]],0,0)</f>
        <v>12</v>
      </c>
      <c r="C47" t="s">
        <v>95</v>
      </c>
      <c r="D47" t="s">
        <v>15</v>
      </c>
      <c r="E47" t="s">
        <v>96</v>
      </c>
      <c r="F47" t="s">
        <v>141</v>
      </c>
    </row>
    <row r="48" spans="1:6" x14ac:dyDescent="0.25">
      <c r="A48" cm="1">
        <f t="array" ref="A48">_xlfn.XLOOKUP(C48,nodes_t[[#All],[node]],nodes_t[[#All],[id]],0,0)</f>
        <v>52</v>
      </c>
      <c r="B48" cm="1">
        <f t="array" ref="B48">_xlfn.XLOOKUP(E48,nodes_t[[#All],[node]],nodes_t[[#All],[id]],0,0)</f>
        <v>53</v>
      </c>
      <c r="C48" t="s">
        <v>21</v>
      </c>
      <c r="D48" t="s">
        <v>97</v>
      </c>
      <c r="E48" t="s">
        <v>138</v>
      </c>
      <c r="F48" t="s">
        <v>141</v>
      </c>
    </row>
    <row r="49" spans="1:7" x14ac:dyDescent="0.25">
      <c r="A49" cm="1">
        <f t="array" ref="A49">_xlfn.XLOOKUP(C49,nodes_t[[#All],[node]],nodes_t[[#All],[id]],0,0)</f>
        <v>52</v>
      </c>
      <c r="B49" cm="1">
        <f t="array" ref="B49">_xlfn.XLOOKUP(E49,nodes_t[[#All],[node]],nodes_t[[#All],[id]],0,0)</f>
        <v>3</v>
      </c>
      <c r="C49" t="s">
        <v>21</v>
      </c>
      <c r="D49" t="s">
        <v>85</v>
      </c>
      <c r="E49" t="s">
        <v>92</v>
      </c>
      <c r="F49" t="s">
        <v>141</v>
      </c>
    </row>
    <row r="50" spans="1:7" x14ac:dyDescent="0.25">
      <c r="A50" cm="1">
        <f t="array" ref="A50">_xlfn.XLOOKUP(C50,nodes_t[[#All],[node]],nodes_t[[#All],[id]],0,0)</f>
        <v>37</v>
      </c>
      <c r="B50" cm="1">
        <f t="array" ref="B50">_xlfn.XLOOKUP(E50,nodes_t[[#All],[node]],nodes_t[[#All],[id]],0,0)</f>
        <v>25</v>
      </c>
      <c r="C50" t="s">
        <v>98</v>
      </c>
      <c r="D50" t="s">
        <v>99</v>
      </c>
      <c r="E50" t="s">
        <v>27</v>
      </c>
      <c r="F50" t="s">
        <v>141</v>
      </c>
    </row>
    <row r="51" spans="1:7" x14ac:dyDescent="0.25">
      <c r="A51" cm="1">
        <f t="array" ref="A51">_xlfn.XLOOKUP(C51,nodes_t[[#All],[node]],nodes_t[[#All],[id]],0,0)</f>
        <v>37</v>
      </c>
      <c r="B51" cm="1">
        <f t="array" ref="B51">_xlfn.XLOOKUP(E51,nodes_t[[#All],[node]],nodes_t[[#All],[id]],0,0)</f>
        <v>26</v>
      </c>
      <c r="C51" t="s">
        <v>98</v>
      </c>
      <c r="D51" t="s">
        <v>66</v>
      </c>
      <c r="E51" t="s">
        <v>65</v>
      </c>
      <c r="F51" t="s">
        <v>141</v>
      </c>
    </row>
    <row r="52" spans="1:7" x14ac:dyDescent="0.25">
      <c r="A52" cm="1">
        <f t="array" ref="A52">_xlfn.XLOOKUP(C52,nodes_t[[#All],[node]],nodes_t[[#All],[id]],0,0)</f>
        <v>5</v>
      </c>
      <c r="B52" cm="1">
        <f t="array" ref="B52">_xlfn.XLOOKUP(E52,nodes_t[[#All],[node]],nodes_t[[#All],[id]],0,0)</f>
        <v>13</v>
      </c>
      <c r="C52" t="s">
        <v>84</v>
      </c>
      <c r="D52" t="s">
        <v>100</v>
      </c>
      <c r="E52" t="s">
        <v>101</v>
      </c>
      <c r="F52" t="s">
        <v>141</v>
      </c>
    </row>
    <row r="53" spans="1:7" x14ac:dyDescent="0.25">
      <c r="A53" cm="1">
        <f t="array" ref="A53">_xlfn.XLOOKUP(C53,nodes_t[[#All],[node]],nodes_t[[#All],[id]],0,0)</f>
        <v>13</v>
      </c>
      <c r="B53" cm="1">
        <f t="array" ref="B53">_xlfn.XLOOKUP(E53,nodes_t[[#All],[node]],nodes_t[[#All],[id]],0,0)</f>
        <v>25</v>
      </c>
      <c r="C53" t="s">
        <v>101</v>
      </c>
      <c r="D53" t="s">
        <v>102</v>
      </c>
      <c r="E53" t="s">
        <v>27</v>
      </c>
      <c r="F53" t="s">
        <v>141</v>
      </c>
    </row>
    <row r="54" spans="1:7" x14ac:dyDescent="0.25">
      <c r="A54" cm="1">
        <f t="array" ref="A54">_xlfn.XLOOKUP(C54,nodes_t[[#All],[node]],nodes_t[[#All],[id]],0,0)</f>
        <v>31</v>
      </c>
      <c r="B54" cm="1">
        <f t="array" ref="B54">_xlfn.XLOOKUP(E54,nodes_t[[#All],[node]],nodes_t[[#All],[id]],0,0)</f>
        <v>44</v>
      </c>
      <c r="C54" t="s">
        <v>18</v>
      </c>
      <c r="D54" t="s">
        <v>103</v>
      </c>
      <c r="E54" t="s">
        <v>40</v>
      </c>
      <c r="F54" t="s">
        <v>141</v>
      </c>
    </row>
    <row r="55" spans="1:7" x14ac:dyDescent="0.25">
      <c r="A55" cm="1">
        <f t="array" ref="A55">_xlfn.XLOOKUP(C55,nodes_t[[#All],[node]],nodes_t[[#All],[id]],0,0)</f>
        <v>38</v>
      </c>
      <c r="B55" cm="1">
        <f t="array" ref="B55">_xlfn.XLOOKUP(E55,nodes_t[[#All],[node]],nodes_t[[#All],[id]],0,0)</f>
        <v>44</v>
      </c>
      <c r="C55" t="s">
        <v>104</v>
      </c>
      <c r="D55" t="s">
        <v>105</v>
      </c>
      <c r="E55" t="s">
        <v>40</v>
      </c>
      <c r="F55" t="s">
        <v>141</v>
      </c>
    </row>
    <row r="56" spans="1:7" x14ac:dyDescent="0.25">
      <c r="A56" cm="1">
        <f t="array" ref="A56">_xlfn.XLOOKUP(C56,nodes_t[[#All],[node]],nodes_t[[#All],[id]],0,0)</f>
        <v>39</v>
      </c>
      <c r="B56" cm="1">
        <f t="array" ref="B56">_xlfn.XLOOKUP(E56,nodes_t[[#All],[node]],nodes_t[[#All],[id]],0,0)</f>
        <v>20</v>
      </c>
      <c r="C56" t="s">
        <v>107</v>
      </c>
      <c r="D56" t="s">
        <v>72</v>
      </c>
      <c r="E56" t="s">
        <v>20</v>
      </c>
      <c r="F56" t="s">
        <v>141</v>
      </c>
    </row>
    <row r="57" spans="1:7" x14ac:dyDescent="0.25">
      <c r="A57" cm="1">
        <f t="array" ref="A57">_xlfn.XLOOKUP(C57,nodes_t[[#All],[node]],nodes_t[[#All],[id]],0,0)</f>
        <v>39</v>
      </c>
      <c r="B57" cm="1">
        <f t="array" ref="B57">_xlfn.XLOOKUP(E57,nodes_t[[#All],[node]],nodes_t[[#All],[id]],0,0)</f>
        <v>31</v>
      </c>
      <c r="C57" t="s">
        <v>107</v>
      </c>
      <c r="D57" t="s">
        <v>108</v>
      </c>
      <c r="E57" t="s">
        <v>18</v>
      </c>
      <c r="F57" t="s">
        <v>141</v>
      </c>
    </row>
    <row r="58" spans="1:7" x14ac:dyDescent="0.25">
      <c r="A58" cm="1">
        <f t="array" ref="A58">_xlfn.XLOOKUP(C58,nodes_t[[#All],[node]],nodes_t[[#All],[id]],0,0)</f>
        <v>35</v>
      </c>
      <c r="B58" cm="1">
        <f t="array" ref="B58">_xlfn.XLOOKUP(E58,nodes_t[[#All],[node]],nodes_t[[#All],[id]],0,0)</f>
        <v>46</v>
      </c>
      <c r="C58" t="s">
        <v>77</v>
      </c>
      <c r="D58" t="s">
        <v>39</v>
      </c>
      <c r="E58" t="s">
        <v>109</v>
      </c>
      <c r="F58" t="s">
        <v>141</v>
      </c>
    </row>
    <row r="59" spans="1:7" x14ac:dyDescent="0.25">
      <c r="A59" cm="1">
        <f t="array" ref="A59">_xlfn.XLOOKUP(C59,nodes_t[[#All],[node]],nodes_t[[#All],[id]],0,0)</f>
        <v>52</v>
      </c>
      <c r="B59" cm="1">
        <f t="array" ref="B59">_xlfn.XLOOKUP(E59,nodes_t[[#All],[node]],nodes_t[[#All],[id]],0,0)</f>
        <v>14</v>
      </c>
      <c r="C59" t="s">
        <v>21</v>
      </c>
      <c r="D59" t="s">
        <v>111</v>
      </c>
      <c r="E59" t="s">
        <v>110</v>
      </c>
      <c r="F59" t="s">
        <v>141</v>
      </c>
    </row>
    <row r="60" spans="1:7" x14ac:dyDescent="0.25">
      <c r="A60" cm="1">
        <f t="array" ref="A60">_xlfn.XLOOKUP(C60,nodes_t[[#All],[node]],nodes_t[[#All],[id]],0,0)</f>
        <v>52</v>
      </c>
      <c r="B60" cm="1">
        <f t="array" ref="B60">_xlfn.XLOOKUP(E60,nodes_t[[#All],[node]],nodes_t[[#All],[id]],0,0)</f>
        <v>15</v>
      </c>
      <c r="C60" t="s">
        <v>21</v>
      </c>
      <c r="D60" t="s">
        <v>87</v>
      </c>
      <c r="E60" t="s">
        <v>112</v>
      </c>
      <c r="F60" t="s">
        <v>141</v>
      </c>
    </row>
    <row r="61" spans="1:7" x14ac:dyDescent="0.25">
      <c r="A61" cm="1">
        <f t="array" ref="A61">_xlfn.XLOOKUP(C61,nodes_t[[#All],[node]],nodes_t[[#All],[id]],0,0)</f>
        <v>25</v>
      </c>
      <c r="B61" cm="1">
        <f t="array" ref="B61">_xlfn.XLOOKUP(E61,nodes_t[[#All],[node]],nodes_t[[#All],[id]],0,0)</f>
        <v>3</v>
      </c>
      <c r="C61" t="s">
        <v>27</v>
      </c>
      <c r="D61" t="s">
        <v>113</v>
      </c>
      <c r="E61" t="s">
        <v>92</v>
      </c>
      <c r="F61" t="s">
        <v>141</v>
      </c>
      <c r="G61" t="s">
        <v>114</v>
      </c>
    </row>
    <row r="62" spans="1:7" x14ac:dyDescent="0.25">
      <c r="A62" cm="1">
        <f t="array" ref="A62">_xlfn.XLOOKUP(C62,nodes_t[[#All],[node]],nodes_t[[#All],[id]],0,0)</f>
        <v>29</v>
      </c>
      <c r="B62" cm="1">
        <f t="array" ref="B62">_xlfn.XLOOKUP(E62,nodes_t[[#All],[node]],nodes_t[[#All],[id]],0,0)</f>
        <v>25</v>
      </c>
      <c r="C62" t="s">
        <v>35</v>
      </c>
      <c r="D62" t="s">
        <v>102</v>
      </c>
      <c r="E62" t="s">
        <v>27</v>
      </c>
      <c r="F62" t="s">
        <v>141</v>
      </c>
    </row>
    <row r="63" spans="1:7" x14ac:dyDescent="0.25">
      <c r="A63" cm="1">
        <f t="array" ref="A63">_xlfn.XLOOKUP(C63,nodes_t[[#All],[node]],nodes_t[[#All],[id]],0,0)</f>
        <v>27</v>
      </c>
      <c r="B63" cm="1">
        <f t="array" ref="B63">_xlfn.XLOOKUP(E63,nodes_t[[#All],[node]],nodes_t[[#All],[id]],0,0)</f>
        <v>25</v>
      </c>
      <c r="C63" t="s">
        <v>124</v>
      </c>
      <c r="D63" t="s">
        <v>102</v>
      </c>
      <c r="E63" t="s">
        <v>27</v>
      </c>
      <c r="F63" t="s">
        <v>141</v>
      </c>
      <c r="G63" t="s">
        <v>125</v>
      </c>
    </row>
    <row r="64" spans="1:7" x14ac:dyDescent="0.25">
      <c r="A64" cm="1">
        <f t="array" ref="A64">_xlfn.XLOOKUP(C64,nodes_t[[#All],[node]],nodes_t[[#All],[id]],0,0)</f>
        <v>25</v>
      </c>
      <c r="B64" cm="1">
        <f t="array" ref="B64">_xlfn.XLOOKUP(E64,nodes_t[[#All],[node]],nodes_t[[#All],[id]],0,0)</f>
        <v>16</v>
      </c>
      <c r="C64" t="s">
        <v>27</v>
      </c>
      <c r="D64" t="s">
        <v>127</v>
      </c>
      <c r="E64" t="s">
        <v>128</v>
      </c>
      <c r="F64" t="s">
        <v>141</v>
      </c>
    </row>
    <row r="65" spans="1:6" x14ac:dyDescent="0.25">
      <c r="A65" cm="1">
        <f t="array" ref="A65">_xlfn.XLOOKUP(C65,nodes_t[[#All],[node]],nodes_t[[#All],[id]],0,0)</f>
        <v>16</v>
      </c>
      <c r="B65" cm="1">
        <f t="array" ref="B65">_xlfn.XLOOKUP(E65,nodes_t[[#All],[node]],nodes_t[[#All],[id]],0,0)</f>
        <v>17</v>
      </c>
      <c r="C65" t="s">
        <v>128</v>
      </c>
      <c r="D65" t="s">
        <v>129</v>
      </c>
      <c r="E65" t="s">
        <v>130</v>
      </c>
      <c r="F65" t="s">
        <v>141</v>
      </c>
    </row>
    <row r="66" spans="1:6" x14ac:dyDescent="0.25">
      <c r="A66" cm="1">
        <f t="array" ref="A66">_xlfn.XLOOKUP(C66,nodes_t[[#All],[node]],nodes_t[[#All],[id]],0,0)</f>
        <v>16</v>
      </c>
      <c r="B66" cm="1">
        <f t="array" ref="B66">_xlfn.XLOOKUP(E66,nodes_t[[#All],[node]],nodes_t[[#All],[id]],0,0)</f>
        <v>18</v>
      </c>
      <c r="C66" t="s">
        <v>128</v>
      </c>
      <c r="D66" t="s">
        <v>129</v>
      </c>
      <c r="E66" t="s">
        <v>131</v>
      </c>
      <c r="F66" t="s">
        <v>141</v>
      </c>
    </row>
    <row r="67" spans="1:6" x14ac:dyDescent="0.25">
      <c r="A67" cm="1">
        <f t="array" ref="A67">_xlfn.XLOOKUP(C67,nodes_t[[#All],[node]],nodes_t[[#All],[id]],0,0)</f>
        <v>16</v>
      </c>
      <c r="B67" cm="1">
        <f t="array" ref="B67">_xlfn.XLOOKUP(E67,nodes_t[[#All],[node]],nodes_t[[#All],[id]],0,0)</f>
        <v>19</v>
      </c>
      <c r="C67" t="s">
        <v>128</v>
      </c>
      <c r="D67" t="s">
        <v>129</v>
      </c>
      <c r="E67" t="s">
        <v>132</v>
      </c>
      <c r="F67" t="s">
        <v>141</v>
      </c>
    </row>
    <row r="68" spans="1:6" x14ac:dyDescent="0.25">
      <c r="A68" cm="1">
        <f t="array" ref="A68">_xlfn.XLOOKUP(C68,nodes_t[[#All],[node]],nodes_t[[#All],[id]],0,0)</f>
        <v>16</v>
      </c>
      <c r="B68" cm="1">
        <f t="array" ref="B68">_xlfn.XLOOKUP(E68,nodes_t[[#All],[node]],nodes_t[[#All],[id]],0,0)</f>
        <v>5</v>
      </c>
      <c r="C68" t="s">
        <v>128</v>
      </c>
      <c r="D68" t="s">
        <v>134</v>
      </c>
      <c r="E68" t="s">
        <v>84</v>
      </c>
      <c r="F68" t="s">
        <v>141</v>
      </c>
    </row>
    <row r="69" spans="1:6" x14ac:dyDescent="0.25">
      <c r="A69" cm="1">
        <f t="array" ref="A69">_xlfn.XLOOKUP(C69,nodes_t[[#All],[node]],nodes_t[[#All],[id]],0,0)</f>
        <v>30</v>
      </c>
      <c r="B69" cm="1">
        <f t="array" ref="B69">_xlfn.XLOOKUP(E69,nodes_t[[#All],[node]],nodes_t[[#All],[id]],0,0)</f>
        <v>8</v>
      </c>
      <c r="C69" t="s">
        <v>73</v>
      </c>
      <c r="D69" t="s">
        <v>135</v>
      </c>
      <c r="E69" t="s">
        <v>136</v>
      </c>
      <c r="F69" t="s">
        <v>141</v>
      </c>
    </row>
    <row r="70" spans="1:6" x14ac:dyDescent="0.25">
      <c r="A70" cm="1">
        <f t="array" ref="A70">_xlfn.XLOOKUP(C70,nodes_t[[#All],[node]],nodes_t[[#All],[id]],0,0)</f>
        <v>8</v>
      </c>
      <c r="B70" cm="1">
        <f t="array" ref="B70">_xlfn.XLOOKUP(E70,nodes_t[[#All],[node]],nodes_t[[#All],[id]],0,0)</f>
        <v>25</v>
      </c>
      <c r="C70" t="s">
        <v>136</v>
      </c>
      <c r="D70" t="s">
        <v>137</v>
      </c>
      <c r="E70" t="s">
        <v>27</v>
      </c>
      <c r="F70" t="s">
        <v>141</v>
      </c>
    </row>
    <row r="71" spans="1:6" x14ac:dyDescent="0.25">
      <c r="A71" cm="1">
        <f t="array" ref="A71">_xlfn.XLOOKUP(C71,nodes_t[[#All],[node]],nodes_t[[#All],[id]],0,0)</f>
        <v>55</v>
      </c>
      <c r="B71" cm="1">
        <f t="array" ref="B71">_xlfn.XLOOKUP(E71,nodes_t[[#All],[node]],nodes_t[[#All],[id]],0,0)</f>
        <v>25</v>
      </c>
      <c r="C71" t="s">
        <v>151</v>
      </c>
      <c r="D71" t="s">
        <v>142</v>
      </c>
      <c r="E71" t="s">
        <v>27</v>
      </c>
      <c r="F71" t="s">
        <v>141</v>
      </c>
    </row>
    <row r="72" spans="1:6" x14ac:dyDescent="0.25">
      <c r="A72" cm="1">
        <f t="array" ref="A72">_xlfn.XLOOKUP(C72,nodes_t[[#All],[node]],nodes_t[[#All],[id]],0,0)</f>
        <v>56</v>
      </c>
      <c r="B72" cm="1">
        <f t="array" ref="B72">_xlfn.XLOOKUP(E72,nodes_t[[#All],[node]],nodes_t[[#All],[id]],0,0)</f>
        <v>52</v>
      </c>
      <c r="C72" t="s">
        <v>143</v>
      </c>
      <c r="D72" t="s">
        <v>153</v>
      </c>
      <c r="E72" t="s">
        <v>21</v>
      </c>
      <c r="F72" t="s">
        <v>141</v>
      </c>
    </row>
    <row r="73" spans="1:6" x14ac:dyDescent="0.25">
      <c r="A73" cm="1">
        <f t="array" ref="A73">_xlfn.XLOOKUP(C73,nodes_t[[#All],[node]],nodes_t[[#All],[id]],0,0)</f>
        <v>57</v>
      </c>
      <c r="B73" cm="1">
        <f t="array" ref="B73">_xlfn.XLOOKUP(E73,nodes_t[[#All],[node]],nodes_t[[#All],[id]],0,0)</f>
        <v>52</v>
      </c>
      <c r="C73" t="s">
        <v>144</v>
      </c>
      <c r="D73" t="s">
        <v>153</v>
      </c>
      <c r="E73" t="s">
        <v>21</v>
      </c>
      <c r="F73" t="s">
        <v>141</v>
      </c>
    </row>
    <row r="74" spans="1:6" x14ac:dyDescent="0.25">
      <c r="A74" cm="1">
        <f t="array" ref="A74">_xlfn.XLOOKUP(C74,nodes_t[[#All],[node]],nodes_t[[#All],[id]],0,0)</f>
        <v>58</v>
      </c>
      <c r="B74" cm="1">
        <f t="array" ref="B74">_xlfn.XLOOKUP(E74,nodes_t[[#All],[node]],nodes_t[[#All],[id]],0,0)</f>
        <v>52</v>
      </c>
      <c r="C74" t="s">
        <v>145</v>
      </c>
      <c r="D74" t="s">
        <v>153</v>
      </c>
      <c r="E74" t="s">
        <v>21</v>
      </c>
      <c r="F74" t="s">
        <v>141</v>
      </c>
    </row>
    <row r="75" spans="1:6" x14ac:dyDescent="0.25">
      <c r="A75" cm="1">
        <f t="array" ref="A75">_xlfn.XLOOKUP(C75,nodes_t[[#All],[node]],nodes_t[[#All],[id]],0,0)</f>
        <v>59</v>
      </c>
      <c r="B75" cm="1">
        <f t="array" ref="B75">_xlfn.XLOOKUP(E75,nodes_t[[#All],[node]],nodes_t[[#All],[id]],0,0)</f>
        <v>52</v>
      </c>
      <c r="C75" t="s">
        <v>146</v>
      </c>
      <c r="D75" t="s">
        <v>153</v>
      </c>
      <c r="E75" t="s">
        <v>21</v>
      </c>
      <c r="F75" t="s">
        <v>141</v>
      </c>
    </row>
    <row r="76" spans="1:6" x14ac:dyDescent="0.25">
      <c r="A76" cm="1">
        <f t="array" ref="A76">_xlfn.XLOOKUP(C76,nodes_t[[#All],[node]],nodes_t[[#All],[id]],0,0)</f>
        <v>60</v>
      </c>
      <c r="B76" cm="1">
        <f t="array" ref="B76">_xlfn.XLOOKUP(E76,nodes_t[[#All],[node]],nodes_t[[#All],[id]],0,0)</f>
        <v>52</v>
      </c>
      <c r="C76" t="s">
        <v>147</v>
      </c>
      <c r="D76" t="s">
        <v>153</v>
      </c>
      <c r="E76" t="s">
        <v>21</v>
      </c>
      <c r="F76" t="s">
        <v>141</v>
      </c>
    </row>
    <row r="77" spans="1:6" x14ac:dyDescent="0.25">
      <c r="A77" cm="1">
        <f t="array" ref="A77">_xlfn.XLOOKUP(C77,nodes_t[[#All],[node]],nodes_t[[#All],[id]],0,0)</f>
        <v>26</v>
      </c>
      <c r="B77" cm="1">
        <f t="array" ref="B77">_xlfn.XLOOKUP(E77,nodes_t[[#All],[node]],nodes_t[[#All],[id]],0,0)</f>
        <v>52</v>
      </c>
      <c r="C77" t="s">
        <v>65</v>
      </c>
      <c r="D77" t="s">
        <v>153</v>
      </c>
      <c r="E77" t="s">
        <v>21</v>
      </c>
      <c r="F77" t="s">
        <v>141</v>
      </c>
    </row>
    <row r="78" spans="1:6" x14ac:dyDescent="0.25">
      <c r="A78" cm="1">
        <f t="array" ref="A78">_xlfn.XLOOKUP(C78,nodes_t[[#All],[node]],nodes_t[[#All],[id]],0,0)</f>
        <v>61</v>
      </c>
      <c r="B78" cm="1">
        <f t="array" ref="B78">_xlfn.XLOOKUP(E78,nodes_t[[#All],[node]],nodes_t[[#All],[id]],0,0)</f>
        <v>52</v>
      </c>
      <c r="C78" t="s">
        <v>148</v>
      </c>
      <c r="D78" t="s">
        <v>153</v>
      </c>
      <c r="E78" t="s">
        <v>21</v>
      </c>
      <c r="F78" t="s">
        <v>141</v>
      </c>
    </row>
    <row r="79" spans="1:6" x14ac:dyDescent="0.25">
      <c r="A79" cm="1">
        <f t="array" ref="A79">_xlfn.XLOOKUP(C79,nodes_t[[#All],[node]],nodes_t[[#All],[id]],0,0)</f>
        <v>62</v>
      </c>
      <c r="B79" cm="1">
        <f t="array" ref="B79">_xlfn.XLOOKUP(E79,nodes_t[[#All],[node]],nodes_t[[#All],[id]],0,0)</f>
        <v>52</v>
      </c>
      <c r="C79" t="s">
        <v>149</v>
      </c>
      <c r="D79" t="s">
        <v>153</v>
      </c>
      <c r="E79" t="s">
        <v>21</v>
      </c>
      <c r="F79" t="s">
        <v>141</v>
      </c>
    </row>
    <row r="80" spans="1:6" x14ac:dyDescent="0.25">
      <c r="A80" cm="1">
        <f t="array" ref="A80">_xlfn.XLOOKUP(C80,nodes_t[[#All],[node]],nodes_t[[#All],[id]],0,0)</f>
        <v>34</v>
      </c>
      <c r="B80" cm="1">
        <f t="array" ref="B80">_xlfn.XLOOKUP(E80,nodes_t[[#All],[node]],nodes_t[[#All],[id]],0,0)</f>
        <v>26</v>
      </c>
      <c r="C80" t="s">
        <v>82</v>
      </c>
      <c r="D80" t="s">
        <v>93</v>
      </c>
      <c r="E80" t="s">
        <v>65</v>
      </c>
      <c r="F80" t="s">
        <v>141</v>
      </c>
    </row>
    <row r="81" spans="1:6" x14ac:dyDescent="0.25">
      <c r="A81" cm="1">
        <f t="array" ref="A81">_xlfn.XLOOKUP(C81,nodes_t[[#All],[node]],nodes_t[[#All],[id]],0,0)</f>
        <v>29</v>
      </c>
      <c r="B81" cm="1">
        <f t="array" ref="B81">_xlfn.XLOOKUP(E81,nodes_t[[#All],[node]],nodes_t[[#All],[id]],0,0)</f>
        <v>53</v>
      </c>
      <c r="C81" t="s">
        <v>35</v>
      </c>
      <c r="D81" t="s">
        <v>152</v>
      </c>
      <c r="E81" t="s">
        <v>138</v>
      </c>
      <c r="F81" t="s">
        <v>141</v>
      </c>
    </row>
    <row r="82" spans="1:6" x14ac:dyDescent="0.25">
      <c r="A82" cm="1">
        <f t="array" ref="A82">_xlfn.XLOOKUP(C82,nodes_t[[#All],[node]],nodes_t[[#All],[id]],0,0)</f>
        <v>63</v>
      </c>
      <c r="B82" cm="1">
        <f t="array" ref="B82">_xlfn.XLOOKUP(E82,nodes_t[[#All],[node]],nodes_t[[#All],[id]],0,0)</f>
        <v>55</v>
      </c>
      <c r="C82" t="s">
        <v>154</v>
      </c>
      <c r="D82" t="s">
        <v>150</v>
      </c>
      <c r="E82" t="s">
        <v>151</v>
      </c>
      <c r="F82" t="s">
        <v>141</v>
      </c>
    </row>
    <row r="83" spans="1:6" x14ac:dyDescent="0.25">
      <c r="A83" cm="1">
        <f t="array" ref="A83">_xlfn.XLOOKUP(C83,nodes_t[[#All],[node]],nodes_t[[#All],[id]],0,0)</f>
        <v>64</v>
      </c>
      <c r="B83" cm="1">
        <f t="array" ref="B83">_xlfn.XLOOKUP(E83,nodes_t[[#All],[node]],nodes_t[[#All],[id]],0,0)</f>
        <v>55</v>
      </c>
      <c r="C83" t="s">
        <v>155</v>
      </c>
      <c r="D83" t="s">
        <v>150</v>
      </c>
      <c r="E83" t="s">
        <v>151</v>
      </c>
      <c r="F83" t="s">
        <v>141</v>
      </c>
    </row>
    <row r="84" spans="1:6" x14ac:dyDescent="0.25">
      <c r="A84" cm="1">
        <f t="array" ref="A84">_xlfn.XLOOKUP(C84,nodes_t[[#All],[node]],nodes_t[[#All],[id]],0,0)</f>
        <v>65</v>
      </c>
      <c r="B84" cm="1">
        <f t="array" ref="B84">_xlfn.XLOOKUP(E84,nodes_t[[#All],[node]],nodes_t[[#All],[id]],0,0)</f>
        <v>55</v>
      </c>
      <c r="C84" t="s">
        <v>156</v>
      </c>
      <c r="D84" t="s">
        <v>150</v>
      </c>
      <c r="E84" t="s">
        <v>151</v>
      </c>
      <c r="F84" t="s">
        <v>141</v>
      </c>
    </row>
    <row r="85" spans="1:6" x14ac:dyDescent="0.25">
      <c r="A85" cm="1">
        <f t="array" ref="A85">_xlfn.XLOOKUP(C85,nodes_t[[#All],[node]],nodes_t[[#All],[id]],0,0)</f>
        <v>66</v>
      </c>
      <c r="B85" cm="1">
        <f t="array" ref="B85">_xlfn.XLOOKUP(E85,nodes_t[[#All],[node]],nodes_t[[#All],[id]],0,0)</f>
        <v>55</v>
      </c>
      <c r="C85" t="s">
        <v>157</v>
      </c>
      <c r="D85" t="s">
        <v>150</v>
      </c>
      <c r="E85" t="s">
        <v>151</v>
      </c>
      <c r="F85" t="s">
        <v>141</v>
      </c>
    </row>
    <row r="86" spans="1:6" x14ac:dyDescent="0.25">
      <c r="A86" cm="1">
        <f t="array" ref="A86">_xlfn.XLOOKUP(C86,nodes_t[[#All],[node]],nodes_t[[#All],[id]],0,0)</f>
        <v>67</v>
      </c>
      <c r="B86" cm="1">
        <f t="array" ref="B86">_xlfn.XLOOKUP(E86,nodes_t[[#All],[node]],nodes_t[[#All],[id]],0,0)</f>
        <v>55</v>
      </c>
      <c r="C86" t="s">
        <v>158</v>
      </c>
      <c r="D86" t="s">
        <v>150</v>
      </c>
      <c r="E86" t="s">
        <v>151</v>
      </c>
      <c r="F86" t="s">
        <v>141</v>
      </c>
    </row>
    <row r="87" spans="1:6" x14ac:dyDescent="0.25">
      <c r="A87" cm="1">
        <f t="array" ref="A87">_xlfn.XLOOKUP(C87,nodes_t[[#All],[node]],nodes_t[[#All],[id]],0,0)</f>
        <v>68</v>
      </c>
      <c r="B87" cm="1">
        <f t="array" ref="B87">_xlfn.XLOOKUP(E87,nodes_t[[#All],[node]],nodes_t[[#All],[id]],0,0)</f>
        <v>55</v>
      </c>
      <c r="C87" t="s">
        <v>159</v>
      </c>
      <c r="D87" t="s">
        <v>150</v>
      </c>
      <c r="E87" t="s">
        <v>151</v>
      </c>
      <c r="F87" t="s">
        <v>141</v>
      </c>
    </row>
    <row r="88" spans="1:6" x14ac:dyDescent="0.25">
      <c r="A88" cm="1">
        <f t="array" ref="A88">_xlfn.XLOOKUP(C88,nodes_t[[#All],[node]],nodes_t[[#All],[id]],0,0)</f>
        <v>69</v>
      </c>
      <c r="B88" cm="1">
        <f t="array" ref="B88">_xlfn.XLOOKUP(E88,nodes_t[[#All],[node]],nodes_t[[#All],[id]],0,0)</f>
        <v>55</v>
      </c>
      <c r="C88" t="s">
        <v>160</v>
      </c>
      <c r="D88" t="s">
        <v>150</v>
      </c>
      <c r="E88" t="s">
        <v>151</v>
      </c>
      <c r="F88" t="s">
        <v>141</v>
      </c>
    </row>
    <row r="89" spans="1:6" x14ac:dyDescent="0.25">
      <c r="A89" cm="1">
        <f t="array" ref="A89">_xlfn.XLOOKUP(C89,nodes_t[[#All],[node]],nodes_t[[#All],[id]],0,0)</f>
        <v>70</v>
      </c>
      <c r="B89" cm="1">
        <f t="array" ref="B89">_xlfn.XLOOKUP(E89,nodes_t[[#All],[node]],nodes_t[[#All],[id]],0,0)</f>
        <v>55</v>
      </c>
      <c r="C89" t="s">
        <v>161</v>
      </c>
      <c r="D89" t="s">
        <v>150</v>
      </c>
      <c r="E89" t="s">
        <v>151</v>
      </c>
      <c r="F89" t="s">
        <v>141</v>
      </c>
    </row>
    <row r="90" spans="1:6" x14ac:dyDescent="0.25">
      <c r="A90" cm="1">
        <f t="array" ref="A90">_xlfn.XLOOKUP(C90,nodes_t[[#All],[node]],nodes_t[[#All],[id]],0,0)</f>
        <v>71</v>
      </c>
      <c r="B90" cm="1">
        <f t="array" ref="B90">_xlfn.XLOOKUP(E90,nodes_t[[#All],[node]],nodes_t[[#All],[id]],0,0)</f>
        <v>55</v>
      </c>
      <c r="C90" t="s">
        <v>162</v>
      </c>
      <c r="D90" t="s">
        <v>150</v>
      </c>
      <c r="E90" t="s">
        <v>151</v>
      </c>
      <c r="F90" t="s">
        <v>141</v>
      </c>
    </row>
    <row r="91" spans="1:6" x14ac:dyDescent="0.25">
      <c r="A91" cm="1">
        <f t="array" ref="A91">_xlfn.XLOOKUP(C91,nodes_t[[#All],[node]],nodes_t[[#All],[id]],0,0)</f>
        <v>72</v>
      </c>
      <c r="B91" cm="1">
        <f t="array" ref="B91">_xlfn.XLOOKUP(E91,nodes_t[[#All],[node]],nodes_t[[#All],[id]],0,0)</f>
        <v>55</v>
      </c>
      <c r="C91" t="s">
        <v>163</v>
      </c>
      <c r="D91" t="s">
        <v>150</v>
      </c>
      <c r="E91" t="s">
        <v>151</v>
      </c>
      <c r="F91" t="s">
        <v>141</v>
      </c>
    </row>
    <row r="92" spans="1:6" x14ac:dyDescent="0.25">
      <c r="A92" cm="1">
        <f t="array" ref="A92">_xlfn.XLOOKUP(C92,nodes_t[[#All],[node]],nodes_t[[#All],[id]],0,0)</f>
        <v>73</v>
      </c>
      <c r="B92" cm="1">
        <f t="array" ref="B92">_xlfn.XLOOKUP(E92,nodes_t[[#All],[node]],nodes_t[[#All],[id]],0,0)</f>
        <v>55</v>
      </c>
      <c r="C92" t="s">
        <v>164</v>
      </c>
      <c r="D92" t="s">
        <v>150</v>
      </c>
      <c r="E92" t="s">
        <v>151</v>
      </c>
      <c r="F92" t="s">
        <v>141</v>
      </c>
    </row>
    <row r="93" spans="1:6" x14ac:dyDescent="0.25">
      <c r="A93" cm="1">
        <f t="array" ref="A93">_xlfn.XLOOKUP(C93,nodes_t[[#All],[node]],nodes_t[[#All],[id]],0,0)</f>
        <v>74</v>
      </c>
      <c r="B93" cm="1">
        <f t="array" ref="B93">_xlfn.XLOOKUP(E93,nodes_t[[#All],[node]],nodes_t[[#All],[id]],0,0)</f>
        <v>55</v>
      </c>
      <c r="C93" t="s">
        <v>165</v>
      </c>
      <c r="D93" t="s">
        <v>150</v>
      </c>
      <c r="E93" t="s">
        <v>151</v>
      </c>
      <c r="F93" t="s">
        <v>141</v>
      </c>
    </row>
    <row r="94" spans="1:6" x14ac:dyDescent="0.25">
      <c r="A94" cm="1">
        <f t="array" ref="A94">_xlfn.XLOOKUP(C94,nodes_t[[#All],[node]],nodes_t[[#All],[id]],0,0)</f>
        <v>75</v>
      </c>
      <c r="B94" cm="1">
        <f t="array" ref="B94">_xlfn.XLOOKUP(E94,nodes_t[[#All],[node]],nodes_t[[#All],[id]],0,0)</f>
        <v>55</v>
      </c>
      <c r="C94" t="s">
        <v>166</v>
      </c>
      <c r="D94" t="s">
        <v>150</v>
      </c>
      <c r="E94" t="s">
        <v>151</v>
      </c>
      <c r="F94" t="s">
        <v>141</v>
      </c>
    </row>
    <row r="95" spans="1:6" x14ac:dyDescent="0.25">
      <c r="A95" cm="1">
        <f t="array" ref="A95">_xlfn.XLOOKUP(C95,nodes_t[[#All],[node]],nodes_t[[#All],[id]],0,0)</f>
        <v>26</v>
      </c>
      <c r="B95" cm="1">
        <f t="array" ref="B95">_xlfn.XLOOKUP(E95,nodes_t[[#All],[node]],nodes_t[[#All],[id]],0,0)</f>
        <v>77</v>
      </c>
      <c r="C95" t="s">
        <v>65</v>
      </c>
      <c r="D95" t="s">
        <v>167</v>
      </c>
      <c r="E95" t="s">
        <v>168</v>
      </c>
      <c r="F95" t="s">
        <v>141</v>
      </c>
    </row>
    <row r="96" spans="1:6" x14ac:dyDescent="0.25">
      <c r="A96" cm="1">
        <f t="array" ref="A96">_xlfn.XLOOKUP(C96,nodes_t[[#All],[node]],nodes_t[[#All],[id]],0,0)</f>
        <v>23</v>
      </c>
      <c r="B96" cm="1">
        <f t="array" ref="B96">_xlfn.XLOOKUP(E96,nodes_t[[#All],[node]],nodes_t[[#All],[id]],0,0)</f>
        <v>76</v>
      </c>
      <c r="C96" t="s">
        <v>169</v>
      </c>
      <c r="D96" t="s">
        <v>170</v>
      </c>
      <c r="E96" t="s">
        <v>171</v>
      </c>
      <c r="F96" t="s">
        <v>141</v>
      </c>
    </row>
    <row r="97" spans="1:7" x14ac:dyDescent="0.25">
      <c r="A97" cm="1">
        <f t="array" ref="A97">_xlfn.XLOOKUP(C97,nodes_t[[#All],[node]],nodes_t[[#All],[id]],0,0)</f>
        <v>76</v>
      </c>
      <c r="B97" cm="1">
        <f t="array" ref="B97">_xlfn.XLOOKUP(E97,nodes_t[[#All],[node]],nodes_t[[#All],[id]],0,0)</f>
        <v>43</v>
      </c>
      <c r="C97" t="s">
        <v>171</v>
      </c>
      <c r="D97" t="s">
        <v>172</v>
      </c>
      <c r="E97" t="s">
        <v>46</v>
      </c>
      <c r="F97" t="s">
        <v>141</v>
      </c>
    </row>
    <row r="98" spans="1:7" x14ac:dyDescent="0.25">
      <c r="A98" cm="1">
        <f t="array" ref="A98">_xlfn.XLOOKUP(C98,nodes_t[[#All],[node]],nodes_t[[#All],[id]],0,0)</f>
        <v>27</v>
      </c>
      <c r="B98" cm="1">
        <f t="array" ref="B98">_xlfn.XLOOKUP(E98,nodes_t[[#All],[node]],nodes_t[[#All],[id]],0,0)</f>
        <v>76</v>
      </c>
      <c r="C98" t="s">
        <v>124</v>
      </c>
      <c r="D98" t="s">
        <v>173</v>
      </c>
      <c r="E98" t="s">
        <v>171</v>
      </c>
      <c r="F98" t="s">
        <v>141</v>
      </c>
      <c r="G98" t="s">
        <v>175</v>
      </c>
    </row>
    <row r="99" spans="1:7" x14ac:dyDescent="0.25">
      <c r="A99" cm="1">
        <f t="array" ref="A99">_xlfn.XLOOKUP(C99,nodes_t[[#All],[node]],nodes_t[[#All],[id]],0,0)</f>
        <v>27</v>
      </c>
      <c r="B99" cm="1">
        <f t="array" ref="B99">_xlfn.XLOOKUP(E99,nodes_t[[#All],[node]],nodes_t[[#All],[id]],0,0)</f>
        <v>76</v>
      </c>
      <c r="C99" t="s">
        <v>124</v>
      </c>
      <c r="D99" t="s">
        <v>174</v>
      </c>
      <c r="E99" t="s">
        <v>171</v>
      </c>
      <c r="F99" t="s">
        <v>141</v>
      </c>
    </row>
    <row r="100" spans="1:7" x14ac:dyDescent="0.25">
      <c r="A100" cm="1">
        <f t="array" ref="A100">_xlfn.XLOOKUP(C100,nodes_t[[#All],[node]],nodes_t[[#All],[id]],0,0)</f>
        <v>23</v>
      </c>
      <c r="B100" cm="1">
        <f t="array" ref="B100">_xlfn.XLOOKUP(E100,nodes_t[[#All],[node]],nodes_t[[#All],[id]],0,0)</f>
        <v>78</v>
      </c>
      <c r="C100" t="s">
        <v>169</v>
      </c>
      <c r="D100" t="s">
        <v>176</v>
      </c>
      <c r="E100" t="s">
        <v>177</v>
      </c>
      <c r="F100" t="s">
        <v>141</v>
      </c>
    </row>
  </sheetData>
  <phoneticPr fontId="1" type="noConversion"/>
  <conditionalFormatting sqref="A1:B1048576">
    <cfRule type="cellIs" dxfId="0" priority="4" operator="equal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NodesFromEdges">
                <anchor moveWithCells="1" sizeWithCells="1">
                  <from>
                    <xdr:col>7</xdr:col>
                    <xdr:colOff>38100</xdr:colOff>
                    <xdr:row>0</xdr:row>
                    <xdr:rowOff>9525</xdr:rowOff>
                  </from>
                  <to>
                    <xdr:col>7</xdr:col>
                    <xdr:colOff>590550</xdr:colOff>
                    <xdr:row>0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5A0-E918-48B5-824F-189FB0974856}">
  <sheetPr codeName="Sheet3"/>
  <dimension ref="A1:A7"/>
  <sheetViews>
    <sheetView workbookViewId="0">
      <selection activeCell="A2" sqref="A2"/>
    </sheetView>
  </sheetViews>
  <sheetFormatPr defaultRowHeight="15" x14ac:dyDescent="0.25"/>
  <sheetData>
    <row r="1" spans="1:1" x14ac:dyDescent="0.25">
      <c r="A1" s="2" t="s">
        <v>22</v>
      </c>
    </row>
    <row r="2" spans="1:1" x14ac:dyDescent="0.25">
      <c r="A2" s="2" t="s">
        <v>26</v>
      </c>
    </row>
    <row r="3" spans="1:1" x14ac:dyDescent="0.25">
      <c r="A3" s="3" t="s">
        <v>61</v>
      </c>
    </row>
    <row r="4" spans="1:1" x14ac:dyDescent="0.25">
      <c r="A4" s="3" t="s">
        <v>32</v>
      </c>
    </row>
    <row r="5" spans="1:1" x14ac:dyDescent="0.25">
      <c r="A5" s="2" t="s">
        <v>13</v>
      </c>
    </row>
    <row r="6" spans="1:1" x14ac:dyDescent="0.25">
      <c r="A6" s="3" t="s">
        <v>60</v>
      </c>
    </row>
    <row r="7" spans="1:1" x14ac:dyDescent="0.25">
      <c r="A7" s="3" t="s">
        <v>59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nodes</vt:lpstr>
      <vt:lpstr>edges</vt:lpstr>
      <vt:lpstr>nodetypes</vt:lpstr>
      <vt:lpstr>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2022-09-01T23:15:21Z</dcterms:created>
  <dcterms:modified xsi:type="dcterms:W3CDTF">2023-08-16T08:48:10Z</dcterms:modified>
</cp:coreProperties>
</file>